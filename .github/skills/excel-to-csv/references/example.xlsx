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richardfremmerlid/Projects/agent-plugins-skills/plugins/excel-to-csv/skills/excel-to-csv/references/"/>
    </mc:Choice>
  </mc:AlternateContent>
  <xr:revisionPtr revIDLastSave="0" documentId="13_ncr:1_{0AAF1258-C884-0D4C-A36B-6763571F0537}" xr6:coauthVersionLast="47" xr6:coauthVersionMax="47" xr10:uidLastSave="{00000000-0000-0000-0000-000000000000}"/>
  <bookViews>
    <workbookView xWindow="0" yWindow="600" windowWidth="28800" windowHeight="16380" xr2:uid="{3C1F3B2E-DF9D-A149-B76E-184DF2D2D9E0}"/>
  </bookViews>
  <sheets>
    <sheet name="example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a="1"/>
  <c r="D4" i="1" s="1"/>
  <c r="E4" i="1" s="1"/>
  <c r="F4" i="1" s="1"/>
  <c r="D5" i="1" a="1"/>
  <c r="D5" i="1" s="1"/>
  <c r="E5" i="1" s="1"/>
  <c r="F5" i="1" s="1"/>
  <c r="D6" i="1" a="1"/>
  <c r="D6" i="1" s="1"/>
  <c r="E6" i="1" s="1"/>
  <c r="F6" i="1" s="1"/>
  <c r="D7" i="1" a="1"/>
  <c r="D7" i="1" s="1"/>
  <c r="E7" i="1" s="1"/>
  <c r="F7" i="1" s="1"/>
  <c r="D8" i="1" a="1"/>
  <c r="D8" i="1" s="1"/>
  <c r="E8" i="1" s="1"/>
  <c r="F8" i="1" s="1"/>
  <c r="D9" i="1" a="1"/>
  <c r="D9" i="1" s="1"/>
  <c r="E9" i="1" s="1"/>
  <c r="F9" i="1" s="1"/>
  <c r="D10" i="1" a="1"/>
  <c r="D10" i="1" s="1"/>
  <c r="E10" i="1" s="1"/>
  <c r="F10" i="1" s="1"/>
  <c r="D11" i="1" a="1"/>
  <c r="D11" i="1" s="1"/>
  <c r="E11" i="1" s="1"/>
  <c r="F11" i="1" s="1"/>
  <c r="D12" i="1" a="1"/>
  <c r="D12" i="1" s="1"/>
  <c r="E12" i="1" s="1"/>
  <c r="F12" i="1" s="1"/>
  <c r="D13" i="1" a="1"/>
  <c r="D13" i="1" s="1"/>
  <c r="E13" i="1" s="1"/>
  <c r="F13" i="1" s="1"/>
  <c r="D14" i="1" a="1"/>
  <c r="D14" i="1" s="1"/>
  <c r="E14" i="1" s="1"/>
  <c r="F14" i="1" s="1"/>
  <c r="D15" i="1" a="1"/>
  <c r="D15" i="1" s="1"/>
  <c r="E15" i="1" s="1"/>
  <c r="F15" i="1" s="1"/>
  <c r="D16" i="1" a="1"/>
  <c r="D16" i="1" s="1"/>
  <c r="E16" i="1" s="1"/>
  <c r="F16" i="1" s="1"/>
  <c r="D17" i="1" a="1"/>
  <c r="D17" i="1" s="1"/>
  <c r="E17" i="1" s="1"/>
  <c r="F17" i="1" s="1"/>
  <c r="D18" i="1" a="1"/>
  <c r="D18" i="1" s="1"/>
  <c r="E18" i="1" s="1"/>
  <c r="F18" i="1" s="1"/>
  <c r="D19" i="1" a="1"/>
  <c r="D19" i="1" s="1"/>
  <c r="E19" i="1" s="1"/>
  <c r="F19" i="1" s="1"/>
  <c r="D20" i="1" a="1"/>
  <c r="D20" i="1" s="1"/>
  <c r="E20" i="1" s="1"/>
  <c r="F20" i="1" s="1"/>
  <c r="D21" i="1" a="1"/>
  <c r="D21" i="1" s="1"/>
  <c r="E21" i="1" s="1"/>
  <c r="F21" i="1" s="1"/>
  <c r="D22" i="1" a="1"/>
  <c r="D22" i="1" s="1"/>
  <c r="E22" i="1" s="1"/>
  <c r="F22" i="1" s="1"/>
  <c r="D23" i="1" a="1"/>
  <c r="D23" i="1" s="1"/>
  <c r="E23" i="1" s="1"/>
  <c r="F23" i="1" s="1"/>
  <c r="D24" i="1" a="1"/>
  <c r="D24" i="1" s="1"/>
  <c r="E24" i="1" s="1"/>
  <c r="F24" i="1" s="1"/>
  <c r="D25" i="1" a="1"/>
  <c r="D25" i="1" s="1"/>
  <c r="E25" i="1" s="1"/>
  <c r="F25" i="1" s="1"/>
  <c r="D3" i="1" a="1"/>
  <c r="D3" i="1" s="1"/>
  <c r="E3" i="1" s="1"/>
  <c r="F3" i="1" s="1"/>
  <c r="B6" i="1" a="1"/>
  <c r="B6" i="1" s="1"/>
  <c r="B21" i="1" a="1"/>
  <c r="B21" i="1" s="1"/>
  <c r="B23" i="1" a="1"/>
  <c r="B23" i="1" s="1"/>
  <c r="B22" i="1" a="1"/>
  <c r="B22" i="1" s="1"/>
  <c r="B8" i="1" a="1"/>
  <c r="B8" i="1" s="1"/>
  <c r="B25" i="1" a="1"/>
  <c r="B25" i="1" s="1"/>
  <c r="B24" i="1" a="1"/>
  <c r="B24" i="1" s="1"/>
  <c r="B15" i="1" a="1"/>
  <c r="B15" i="1" s="1"/>
  <c r="B17" i="1" a="1"/>
  <c r="B17" i="1" s="1"/>
  <c r="B3" i="1" a="1"/>
  <c r="B3" i="1" s="1"/>
  <c r="B18" i="1" a="1"/>
  <c r="B18" i="1" s="1"/>
  <c r="B11" i="1" a="1"/>
  <c r="B11" i="1" s="1"/>
  <c r="B10" i="1" a="1"/>
  <c r="B10" i="1" s="1"/>
  <c r="B4" i="1" a="1"/>
  <c r="B4" i="1" s="1"/>
  <c r="B7" i="1" a="1"/>
  <c r="B7" i="1" s="1"/>
  <c r="B14" i="1" a="1"/>
  <c r="B14" i="1" s="1"/>
  <c r="B5" i="1" a="1"/>
  <c r="B5" i="1" s="1"/>
  <c r="B19" i="1" a="1"/>
  <c r="B19" i="1" s="1"/>
  <c r="B16" i="1" a="1"/>
  <c r="B16" i="1" s="1"/>
  <c r="B12" i="1" a="1"/>
  <c r="B12" i="1" s="1"/>
  <c r="B13" i="1" a="1"/>
  <c r="B13" i="1" s="1"/>
  <c r="B20" i="1" a="1"/>
  <c r="B20" i="1" s="1"/>
  <c r="B9" i="1" a="1"/>
  <c r="B9" i="1" s="1"/>
  <c r="F1"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3">
    <bk>
      <extLst>
        <ext uri="{3e2802c4-a4d2-4d8b-9148-e3be6c30e623}">
          <xlrd:rvb i="1"/>
        </ext>
      </extLst>
    </bk>
    <bk>
      <extLst>
        <ext uri="{3e2802c4-a4d2-4d8b-9148-e3be6c30e623}">
          <xlrd:rvb i="4"/>
        </ext>
      </extLst>
    </bk>
    <bk>
      <extLst>
        <ext uri="{3e2802c4-a4d2-4d8b-9148-e3be6c30e623}">
          <xlrd:rvb i="7"/>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9"/>
        </ext>
      </extLst>
    </bk>
    <bk>
      <extLst>
        <ext uri="{3e2802c4-a4d2-4d8b-9148-e3be6c30e623}">
          <xlrd:rvb i="52"/>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futureMetadata>
  <cellMetadata count="1">
    <bk>
      <rc t="1" v="0"/>
    </bk>
  </cellMetadata>
  <valueMetadata count="2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valueMetadata>
</metadata>
</file>

<file path=xl/sharedStrings.xml><?xml version="1.0" encoding="utf-8"?>
<sst xmlns="http://schemas.openxmlformats.org/spreadsheetml/2006/main" count="7" uniqueCount="7">
  <si>
    <t>jun 1 price</t>
  </si>
  <si>
    <t>today</t>
  </si>
  <si>
    <t>change</t>
  </si>
  <si>
    <t>%</t>
  </si>
  <si>
    <t>symbol</t>
  </si>
  <si>
    <t>stock</t>
  </si>
  <si>
    <t>from June 2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</si>
</sst>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6" x14ac:knownFonts="1">
    <font>
      <sz val="12"/>
      <color theme="1"/>
      <name val="Aptos Narrow"/>
      <family val="2"/>
      <scheme val="minor"/>
    </font>
    <font>
      <sz val="12"/>
      <color theme="1"/>
      <name val="Aptos Narrow"/>
      <family val="2"/>
      <scheme val="minor"/>
    </font>
    <font>
      <b/>
      <sz val="12"/>
      <color theme="1"/>
      <name val="Aptos Narrow"/>
      <family val="2"/>
      <scheme val="minor"/>
    </font>
    <font>
      <b/>
      <sz val="13.5"/>
      <color theme="1"/>
      <name val="Aptos Narrow"/>
      <family val="2"/>
      <scheme val="minor"/>
    </font>
    <font>
      <b/>
      <sz val="12"/>
      <color rgb="FF000000"/>
      <name val="Helvetica"/>
      <family val="2"/>
    </font>
    <font>
      <u/>
      <sz val="12"/>
      <color theme="10"/>
      <name val="Aptos Narrow"/>
      <family val="2"/>
      <scheme val="minor"/>
    </font>
  </fonts>
  <fills count="3">
    <fill>
      <patternFill patternType="none"/>
    </fill>
    <fill>
      <patternFill patternType="gray125"/>
    </fill>
    <fill>
      <patternFill patternType="solid">
        <fgColor theme="4" tint="0.59999389629810485"/>
        <bgColor theme="4" tint="0.59999389629810485"/>
      </patternFill>
    </fill>
  </fills>
  <borders count="2">
    <border>
      <left/>
      <right/>
      <top/>
      <bottom/>
      <diagonal/>
    </border>
    <border>
      <left style="thin">
        <color theme="0"/>
      </left>
      <right/>
      <top style="thin">
        <color theme="0"/>
      </top>
      <bottom style="thin">
        <color theme="0"/>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10">
    <xf numFmtId="0" fontId="0" fillId="0" borderId="0" xfId="0"/>
    <xf numFmtId="164" fontId="0" fillId="0" borderId="0" xfId="0" applyNumberFormat="1"/>
    <xf numFmtId="10" fontId="0" fillId="0" borderId="0" xfId="2" applyNumberFormat="1" applyFont="1"/>
    <xf numFmtId="0" fontId="3" fillId="0" borderId="0" xfId="0" applyFont="1"/>
    <xf numFmtId="0" fontId="2" fillId="0" borderId="0" xfId="0" applyFont="1"/>
    <xf numFmtId="0" fontId="5" fillId="0" borderId="0" xfId="3"/>
    <xf numFmtId="0" fontId="4" fillId="0" borderId="0" xfId="0" applyFont="1"/>
    <xf numFmtId="44" fontId="0" fillId="0" borderId="0" xfId="1" applyFont="1"/>
    <xf numFmtId="10" fontId="0" fillId="0" borderId="0" xfId="2" applyNumberFormat="1" applyFont="1" applyAlignment="1">
      <alignment horizontal="center"/>
    </xf>
    <xf numFmtId="10" fontId="0" fillId="2" borderId="1" xfId="2" applyNumberFormat="1" applyFont="1" applyFill="1" applyBorder="1" applyAlignment="1">
      <alignment horizontal="center"/>
    </xf>
  </cellXfs>
  <cellStyles count="4">
    <cellStyle name="Currency" xfId="1" builtinId="4"/>
    <cellStyle name="Hyperlink" xfId="3" builtinId="8"/>
    <cellStyle name="Normal" xfId="0" builtinId="0"/>
    <cellStyle name="Percent" xfId="2" builtinId="5"/>
  </cellStyles>
  <dxfs count="3">
    <dxf>
      <font>
        <b val="0"/>
        <i val="0"/>
        <strike val="0"/>
        <condense val="0"/>
        <extend val="0"/>
        <outline val="0"/>
        <shadow val="0"/>
        <u val="none"/>
        <vertAlign val="baseline"/>
        <sz val="12"/>
        <color theme="1"/>
        <name val="Aptos Narrow"/>
        <family val="2"/>
        <scheme val="minor"/>
      </font>
      <numFmt numFmtId="14" formatCode="0.00%"/>
      <alignment horizontal="center" vertical="bottom" textRotation="0" wrapText="0" indent="0" justifyLastLine="0" shrinkToFit="0" readingOrder="0"/>
    </dxf>
    <dxf>
      <numFmt numFmtId="164" formatCode="_([$$-409]* #,##0.00_);_([$$-409]* \(#,##0.00\);_([$$-409]* &quot;-&quot;??_);_(@_)"/>
    </dxf>
    <dxf>
      <numFmt numFmtId="164"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6">
  <rv s="0">
    <v>0</v>
    <v>ASTERA LABS, INC (XNAS:ALAB)</v>
    <v>2</v>
    <v>3</v>
    <v>Finance</v>
    <v>4</v>
    <v>en-US</v>
    <v>ccqpyc</v>
    <v>268435456</v>
    <v>1</v>
    <v>Powered by Refinitiv</v>
    <v>262.89999999999998</v>
    <v>47.125</v>
    <v>2.552</v>
    <v>-2.94</v>
    <v>-2.2168999999999998E-2</v>
    <v>0.05</v>
    <v>3.8559999999999999E-4</v>
    <v>USD</v>
    <v>Astera Labs, Inc. is a global semiconductor company. The Company provides semiconductor-based connectivity solutions for cloud and artificial intelligence (AI) infrastructure. It has developed and deployed its Intelligent Connectivity Platform built from the ground up for cloud and AI infrastructure. Its Intelligent Connectivity Platform provides its customers with the ability to deploy and operate high-performance cloud and AI infrastructure at scale, addressing an increasingly diverse set of requirements. It provides its connectivity products in various form factors, including Integrated Circuits (ICs), boards, and modules. Its PCIe, CXL and Ethernet semiconductor-based connectivity solutions are purpose-built to unleash the potential of accelerated computing at cloud-scale. The Company’s products include Aries products, which include its COSMOS software suite; Taurus products, which are hardware modules based on its Taurus ICs; Leo products; and Scorpio products.</v>
    <v>440</v>
    <v>Nasdaq Stock Market</v>
    <v>XNAS</v>
    <v>XNAS</v>
    <v>2345 North First Street, SAN JOSE, CA, 95131 US</v>
    <v>135.19999999999999</v>
    <v>Semiconductors &amp; Semiconductor Equipment</v>
    <v>Stock</v>
    <v>46073.923340635934</v>
    <v>128.26</v>
    <v>22073416360</v>
    <v>ASTERA LABS, INC</v>
    <v>ASTERA LABS, INC</v>
    <v>130.31</v>
    <v>108.80119999999999</v>
    <v>132.62</v>
    <v>129.68</v>
    <v>129.72999999999999</v>
    <v>170214500</v>
    <v>ALAB</v>
    <v>ASTERA LABS, INC (XNAS:ALAB)</v>
    <v>3644406</v>
    <v>5867030</v>
    <v>2017</v>
  </rv>
  <rv s="1">
    <v>0</v>
  </rv>
  <rv s="2">
    <v>https://www.bing.com/financeapi/forcetrigger?t=a1nhlh&amp;q=XNAS%3aAMZN&amp;form=skydnc</v>
    <v>Learn more on Bing</v>
  </rv>
  <rv s="3">
    <v>5</v>
    <v>AMAZON.COM, INC. (XNAS:AMZN)</v>
    <v>6</v>
    <v>3</v>
    <v>Finance</v>
    <v>7</v>
    <v>en-US</v>
    <v>a1nhlh</v>
    <v>268435456</v>
    <v>1</v>
    <v>Powered by Refinitiv</v>
    <v>258.60000000000002</v>
    <v>161.38</v>
    <v>1.4011</v>
    <v>5.25</v>
    <v>2.5627E-2</v>
    <v>-0.06</v>
    <v>-2.856E-4</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211.17</v>
    <v>Diversified Retail</v>
    <v>Stock</v>
    <v>46073.953757742966</v>
    <v>2</v>
    <v>203.75</v>
    <v>2255514041200</v>
    <v>AMAZON.COM, INC.</v>
    <v>AMAZON.COM, INC.</v>
    <v>204.76</v>
    <v>28.562899999999999</v>
    <v>204.86</v>
    <v>210.11</v>
    <v>210.05</v>
    <v>10734920000</v>
    <v>AMZN</v>
    <v>AMAZON.COM, INC. (XNAS:AMZN)</v>
    <v>65881611</v>
    <v>58108228</v>
    <v>1996</v>
  </rv>
  <rv s="1">
    <v>3</v>
  </rv>
  <rv s="2">
    <v>https://www.bing.com/financeapi/forcetrigger?t=a1nihw&amp;q=XNYS%3aANET&amp;form=skydnc</v>
    <v>Learn more on Bing</v>
  </rv>
  <rv s="3">
    <v>5</v>
    <v>ARISTA NETWORKS, INC. (XNYS:ANET)</v>
    <v>6</v>
    <v>3</v>
    <v>Finance</v>
    <v>4</v>
    <v>en-US</v>
    <v>a1nihw</v>
    <v>268435456</v>
    <v>1</v>
    <v>Powered by Refinitiv</v>
    <v>164.94</v>
    <v>59.43</v>
    <v>1.4557</v>
    <v>-4.4000000000000004</v>
    <v>-3.2063000000000001E-2</v>
    <v>-0.35</v>
    <v>-2.6359999999999999E-3</v>
    <v>USD</v>
    <v>Arista Networks, Inc. is a provider of data-driven, client-to-cloud networking for large artificial intelligence (AI), data center, campus and routing environments. Its platforms deliver availability, agility, automation, analytics, and security through an advanced network operating stack. Its platform is its Extensible Operating System (EOS), a modernized publish-subscribe state-sharing networking operating system. Its portfolio of products, services and technologies is grouped into various categories: Core (Data Center, Cloud and AI Networking), Cognitive Adjacencies (Campus and Routing), and Cognitive Network (Software and Services). It offers product portfolios of data-driven, high-speed, cloud and data center Ethernet switches. Its Cognitive Adjacencies include Cognitive Campus Switching, Cloud-Grade Routing and WAN Routing. Its software and services are based on subscription-based models and include various offerings: CloudVision, Arista A-Care Services, CloudEOS and others.</v>
    <v>5115</v>
    <v>New York Stock Exchange</v>
    <v>XNYS</v>
    <v>XNYS</v>
    <v>5453 Great America Pkwy, SANTA CLARA, CA, 95054 US</v>
    <v>138.33000000000001</v>
    <v>Communications &amp; Networking</v>
    <v>Stock</v>
    <v>46074.041231307812</v>
    <v>5</v>
    <v>132.15</v>
    <v>166905942540</v>
    <v>ARISTA NETWORKS, INC.</v>
    <v>ARISTA NETWORKS, INC.</v>
    <v>136.02000000000001</v>
    <v>49.851399999999998</v>
    <v>137.22999999999999</v>
    <v>132.83000000000001</v>
    <v>132.44</v>
    <v>1256538000</v>
    <v>ANET</v>
    <v>ARISTA NETWORKS, INC. (XNYS:ANET)</v>
    <v>8308963</v>
    <v>9210385</v>
    <v>2011</v>
  </rv>
  <rv s="1">
    <v>6</v>
  </rv>
  <rv s="0">
    <v>0</v>
    <v>ARM HOLDINGS PLC (XNAS:ARM)</v>
    <v>2</v>
    <v>3</v>
    <v>Finance</v>
    <v>4</v>
    <v>en-US</v>
    <v>cau7bh</v>
    <v>268435456</v>
    <v>1</v>
    <v>Powered by Refinitiv</v>
    <v>183.16</v>
    <v>80</v>
    <v>1.831</v>
    <v>-1.35</v>
    <v>-1.0636000000000001E-2</v>
    <v>0.09</v>
    <v>7.1670000000000002E-4</v>
    <v>USD</v>
    <v>Arm Holdings plc is engaged in operating a global computing platform. It architects, develops, and licenses high-performance and energy-efficient Arm compute platforms. The Company’s principal operations and activities are the licensing, marketing, research and development of central processing unit (CPU) design intellectual property (IP), graphics processors, system IP, market optimized platform IP, and associated software, tools and other related services. Its complementary products include GPU and NPU accelerators, interconnect, and others. Its primary product offerings are CPU products that address diverse performance, power, and cost requirements. It offers a family of GPU and NPU products providing efficient computing acceleration and an optimal visual experience across a wide range of devices. Its CPU, GPU, and System IP products integrated into a foundational compute platform optimized for a specific end market.</v>
    <v>8330</v>
    <v>Nasdaq Stock Market</v>
    <v>XNAS</v>
    <v>XNAS</v>
    <v>110 Fulbourn Road, CAMBRIDGE, CAMBRIDGESHIRE, CB1 9NJ GB</v>
    <v>130</v>
    <v>Semiconductors &amp; Semiconductor Equipment</v>
    <v>Stock</v>
    <v>46073.961096955471</v>
    <v>124.96</v>
    <v>133365960000</v>
    <v>ARM HOLDINGS PLC</v>
    <v>ARM HOLDINGS PLC</v>
    <v>125.215</v>
    <v>169.1678</v>
    <v>126.93</v>
    <v>125.58</v>
    <v>125.67</v>
    <v>1062000000</v>
    <v>ARM</v>
    <v>ARM HOLDINGS PLC (XNAS:ARM)</v>
    <v>4056042</v>
    <v>7779341</v>
    <v>2018</v>
  </rv>
  <rv s="1">
    <v>8</v>
  </rv>
  <rv s="2">
    <v>https://www.bing.com/financeapi/forcetrigger?t=a1ntlh&amp;q=XNAS%3aASML&amp;form=skydnc</v>
    <v>Learn more on Bing</v>
  </rv>
  <rv s="3">
    <v>5</v>
    <v>ASML Holding NV (XNAS:ASML)</v>
    <v>6</v>
    <v>3</v>
    <v>Finance</v>
    <v>4</v>
    <v>en-US</v>
    <v>a1ntlh</v>
    <v>268435456</v>
    <v>1</v>
    <v>Powered by Refinitiv</v>
    <v>1493.4749999999999</v>
    <v>578.51</v>
    <v>1.8841000000000001</v>
    <v>10.66</v>
    <v>7.3070000000000001E-3</v>
    <v>1.4</v>
    <v>9.5259999999999995E-4</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43520</v>
    <v>Nasdaq Stock Market</v>
    <v>XNAS</v>
    <v>XNAS</v>
    <v>De Run 6501, VELDHOVEN, NOORD-BRABANT, 5504 DR NL</v>
    <v>1487.01</v>
    <v>Semiconductors &amp; Semiconductor Equipment</v>
    <v>Stock</v>
    <v>46074.041350925778</v>
    <v>10</v>
    <v>1448.32</v>
    <v>570417978443</v>
    <v>ASML Holding NV</v>
    <v>ASML Holding NV</v>
    <v>1449.42</v>
    <v>50.259</v>
    <v>1458.93</v>
    <v>1469.59</v>
    <v>1470.99</v>
    <v>388147700</v>
    <v>ASML</v>
    <v>ASML Holding NV (XNAS:ASML)</v>
    <v>1102465</v>
    <v>2052949</v>
    <v>1994</v>
  </rv>
  <rv s="1">
    <v>11</v>
  </rv>
  <rv s="2">
    <v>https://www.bing.com/financeapi/forcetrigger?t=a1nz8m&amp;q=XNAS%3aAVGO&amp;form=skydnc</v>
    <v>Learn more on Bing</v>
  </rv>
  <rv s="3">
    <v>5</v>
    <v>BROADCOM INC. (XNAS:AVGO)</v>
    <v>6</v>
    <v>3</v>
    <v>Finance</v>
    <v>4</v>
    <v>en-US</v>
    <v>a1nz8m</v>
    <v>268435456</v>
    <v>1</v>
    <v>Powered by Refinitiv</v>
    <v>414.61</v>
    <v>138.1</v>
    <v>1.2236</v>
    <v>-1.34</v>
    <v>-4.0119999999999999E-3</v>
    <v>0.31</v>
    <v>9.3189999999999994E-4</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340.11</v>
    <v>Semiconductors &amp; Semiconductor Equipment</v>
    <v>Stock</v>
    <v>46074.041233495314</v>
    <v>13</v>
    <v>329.58</v>
    <v>1577184796100</v>
    <v>BROADCOM INC.</v>
    <v>BROADCOM INC.</v>
    <v>332.35500000000002</v>
    <v>70.018900000000002</v>
    <v>333.99</v>
    <v>332.65</v>
    <v>332.96</v>
    <v>4741274000</v>
    <v>AVGO</v>
    <v>BROADCOM INC. (XNAS:AVGO)</v>
    <v>17658930</v>
    <v>26292300</v>
    <v>2018</v>
  </rv>
  <rv s="1">
    <v>14</v>
  </rv>
  <rv s="2">
    <v>https://www.bing.com/financeapi/forcetrigger?t=c4s6z2&amp;q=XNAS%3aCRDO&amp;form=skydnc</v>
    <v>Learn more on Bing</v>
  </rv>
  <rv s="4">
    <v>8</v>
    <v>Credo Technology Group Holding Ltd (XNAS:CRDO)</v>
    <v>6</v>
    <v>9</v>
    <v>Finance</v>
    <v>7</v>
    <v>en-US</v>
    <v>c4s6z2</v>
    <v>268435456</v>
    <v>1</v>
    <v>Powered by Refinitiv</v>
    <v>213.8</v>
    <v>29.09</v>
    <v>2.6572</v>
    <v>-6.6</v>
    <v>-5.0513000000000002E-2</v>
    <v>0.42</v>
    <v>3.3850000000000004E-3</v>
    <v>USD</v>
    <v>Credo Technology Group Holding Ltd is a Cayman Islands-based holding company. The Company delivers high-speed solutions to break bandwidth barriers on every wired connection in the data infrastructure market. It provides high-speed connectivity solutions that deliver improved power efficiency as data rates and corresponding bandwidth requirements increase exponentially throughout the data infrastructure market. Its connectivity solutions are optimized for optical and electrical Ethernet applications, including the emerging 100 gigabits per second (G), 200G, 400G, 800G and the emerging 1.6 terabits per second (T) port markets. Its products are based on its Serializer/Deserializer (SerDes) and Digital Signal Processor (DSP) technologies. Its product families include integrated circuits (ICs) for the optical and line card markets, active electrical cables (AECs) and SerDes Chiplets. The Company’s intellectual property (IP) solutions consist primarily of SerDes IP licensing.</v>
    <v>622</v>
    <v>Nasdaq Stock Market</v>
    <v>XNAS</v>
    <v>XNAS</v>
    <v>C/O Maples Corporate Services, Limited, Po Box 309, Ugland House, GRAND CAYMAN, KY1-1104 KY</v>
    <v>131.97999999999999</v>
    <v>Semiconductors &amp; Semiconductor Equipment</v>
    <v>Stock</v>
    <v>46073.923335404688</v>
    <v>16</v>
    <v>123.43</v>
    <v>22409168702</v>
    <v>Credo Technology Group Holding Ltd</v>
    <v>Credo Technology Group Holding Ltd</v>
    <v>128.935</v>
    <v>114.16240000000001</v>
    <v>130.66</v>
    <v>124.06</v>
    <v>124.48</v>
    <v>180631700</v>
    <v>CRDO</v>
    <v>Credo Technology Group Holding Ltd (XNAS:CRDO)</v>
    <v>5201470</v>
    <v>6924971</v>
  </rv>
  <rv s="1">
    <v>17</v>
  </rv>
  <rv s="2">
    <v>https://www.bing.com/financeapi/forcetrigger?t=bq8rqh&amp;q=XNAS%3aCRWD&amp;form=skydnc</v>
    <v>Learn more on Bing</v>
  </rv>
  <rv s="3">
    <v>5</v>
    <v>CROWDSTRIKE HOLDINGS, INC. (XNAS:CRWD)</v>
    <v>6</v>
    <v>3</v>
    <v>Finance</v>
    <v>4</v>
    <v>en-US</v>
    <v>bq8rqh</v>
    <v>268435456</v>
    <v>1</v>
    <v>Powered by Refinitiv</v>
    <v>566.9</v>
    <v>298</v>
    <v>1.0522</v>
    <v>-33.54</v>
    <v>-7.9451999999999995E-2</v>
    <v>-0.4</v>
    <v>-1.029E-3</v>
    <v>USD</v>
    <v>CrowdStrike Holdings, Inc. is a global cybersecurity company that provides cloud-delivered protection of endpoints, cloud workloads, identity and data. Its Falcon platform is designed for cybersecurity consolidation, purpose-built to stop breaches. The platforms collect and integrate data from across the enterprise, including endpoints, cloud workloads, identities, and third-party sources. It offers 29 cloud modules on its Falcon platform via a software as a service (SaaS) subscription-based model that spans multiple large markets, including corporate endpoint and cloud workload security, managed security services, security and vulnerability management, information technology (IT) operations management, identity protection, next-generation security information and event management (SIEM) and log management, threat intelligence services, data protection, SaaS security posture management, automation and response (SOAR) and artificial intelligence powered workflow automation, and others.</v>
    <v>10410</v>
    <v>Nasdaq Stock Market</v>
    <v>XNAS</v>
    <v>XNAS</v>
    <v>206 E. 9TH STREET, SUITE 1400, AUSTIN, TX, 78701 US</v>
    <v>431.88</v>
    <v>Software &amp; IT Services</v>
    <v>Stock</v>
    <v>46074.041664375</v>
    <v>19</v>
    <v>387.11</v>
    <v>97965438240</v>
    <v>CROWDSTRIKE HOLDINGS, INC.</v>
    <v>CROWDSTRIKE HOLDINGS, INC.</v>
    <v>419.28</v>
    <v>0</v>
    <v>422.14</v>
    <v>388.6</v>
    <v>388.2</v>
    <v>252098400</v>
    <v>CRWD</v>
    <v>CROWDSTRIKE HOLDINGS, INC. (XNAS:CRWD)</v>
    <v>8360791</v>
    <v>3220319</v>
    <v>2011</v>
  </rv>
  <rv s="1">
    <v>20</v>
  </rv>
  <rv s="2">
    <v>https://www.bing.com/financeapi/forcetrigger?t=brjvjc&amp;q=XNAS%3aDDOG&amp;form=skydnc</v>
    <v>Learn more on Bing</v>
  </rv>
  <rv s="3">
    <v>5</v>
    <v>DATADOG, INC. (XNAS:DDOG)</v>
    <v>6</v>
    <v>3</v>
    <v>Finance</v>
    <v>4</v>
    <v>en-US</v>
    <v>brjvjc</v>
    <v>268435456</v>
    <v>1</v>
    <v>Powered by Refinitiv</v>
    <v>201.69</v>
    <v>81.63</v>
    <v>1.2998000000000001</v>
    <v>-4.9400000000000004</v>
    <v>-4.0961999999999998E-2</v>
    <v>0.24</v>
    <v>2.075E-3</v>
    <v>USD</v>
    <v>Datadog, Inc. provides an observability and security platform for cloud applications. The Company’s SaaS platform integrates and automates infrastructure monitoring, application performance monitoring, log management, user experience monitoring, cloud security and many other capabilities to provide unified, real-time observability and security for its customers’ entire technology stack. Its platform consists of products that can be used individually or as a unified solution and includes a marketplace where customers can access products built by its partners on top of the Datadog platform. Its products include Infrastructure Monitoring, Application Performance Monitoring, Log Management, Digital Experience Monitoring, Continuous Profiler, Database Monitoring, Data Observability, Universal Service Monitoring, Network Monitoring and others. It owns Metaplane, an end-to-end data observability platform that provides advanced machine learning-powered monitoring and column-level lineage.</v>
    <v>8100</v>
    <v>Nasdaq Stock Market</v>
    <v>XNAS</v>
    <v>XNAS</v>
    <v>620 8th Avenue, 45th Floor, NEW YORK, NY, 10018 US</v>
    <v>123.06</v>
    <v>Software &amp; IT Services</v>
    <v>Stock</v>
    <v>46074.041394930471</v>
    <v>22</v>
    <v>114.78</v>
    <v>40778951726</v>
    <v>DATADOG, INC.</v>
    <v>DATADOG, INC.</v>
    <v>119.02</v>
    <v>383.24650000000003</v>
    <v>120.6</v>
    <v>115.66</v>
    <v>115.9</v>
    <v>352576100</v>
    <v>DDOG</v>
    <v>DATADOG, INC. (XNAS:DDOG)</v>
    <v>4549091</v>
    <v>7083958</v>
    <v>2010</v>
  </rv>
  <rv s="1">
    <v>23</v>
  </rv>
  <rv s="2">
    <v>https://www.bing.com/financeapi/forcetrigger?t=a1u3rw&amp;q=XNAS%3aGOOGL&amp;form=skydnc</v>
    <v>Learn more on Bing</v>
  </rv>
  <rv s="3">
    <v>5</v>
    <v>ALPHABET INC. (XNAS:GOOGL)</v>
    <v>6</v>
    <v>3</v>
    <v>Finance</v>
    <v>4</v>
    <v>en-US</v>
    <v>a1u3rw</v>
    <v>268435456</v>
    <v>1</v>
    <v>Powered by Refinitiv</v>
    <v>349</v>
    <v>140.53</v>
    <v>1.0972</v>
    <v>12.13</v>
    <v>4.0052999999999998E-2</v>
    <v>0.43</v>
    <v>1.3650000000000001E-3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316.5</v>
    <v>Software &amp; IT Services</v>
    <v>Stock</v>
    <v>46074.041611481247</v>
    <v>25</v>
    <v>303.89999999999998</v>
    <v>3810313060000</v>
    <v>ALPHABET INC.</v>
    <v>ALPHABET INC.</v>
    <v>304.32</v>
    <v>28.015699999999999</v>
    <v>302.85000000000002</v>
    <v>314.98</v>
    <v>315.41000000000003</v>
    <v>12097000000</v>
    <v>GOOGL</v>
    <v>ALPHABET INC. (XNAS:GOOGL)</v>
    <v>53210820</v>
    <v>38210886</v>
    <v>2015</v>
  </rv>
  <rv s="1">
    <v>26</v>
  </rv>
  <rv s="2">
    <v>https://www.bing.com/financeapi/forcetrigger?t=a1vt77&amp;q=XNAS%3aISRG&amp;form=skydnc</v>
    <v>Learn more on Bing</v>
  </rv>
  <rv s="3">
    <v>5</v>
    <v>INTUITIVE SURGICAL, INC. (XNAS:ISRG)</v>
    <v>6</v>
    <v>3</v>
    <v>Finance</v>
    <v>4</v>
    <v>en-US</v>
    <v>a1vt77</v>
    <v>268435456</v>
    <v>1</v>
    <v>Powered by Refinitiv</v>
    <v>608.16499999999996</v>
    <v>425</v>
    <v>1.6617</v>
    <v>4.5199999999999996</v>
    <v>9.0489999999999998E-3</v>
    <v>0.3</v>
    <v>5.9520000000000005E-4</v>
    <v>USD</v>
    <v>Intuitive Surgical, Inc. develops, manufactures, and markets da Vinci surgical systems and the Ion endoluminal system. The Company specializes in invasive care and robotic-assisted surgery. Its technologies include the da Vinci surgical systems and the Ion endoluminal system. The da Vinci surgical system is designed to enable surgeons to perform a range of surgical procedures within its targeted general surgery, urologic, gynecologic, cardiothoracic, and head and neck specialties and consists of a surgeon's console or consoles, a patient-side cart, and a high-performance vision system. The Ion endoluminal system is a flexible, robotic-assisted, catheter-based platform for which the cleared indication is minimally invasive biopsies in the lung and consists of a system cart, a controller, a catheter, and a vision probe. Its Ion system extends its commercial offering beyond surgery into diagnostic and endoluminal procedures.</v>
    <v>17021</v>
    <v>Nasdaq Stock Market</v>
    <v>XNAS</v>
    <v>XNAS</v>
    <v>1020 Kifer Road, SUNNYVALE, CA, 94086 US</v>
    <v>504.75</v>
    <v>Healthcare Equipment &amp; Supplies</v>
    <v>Stock</v>
    <v>46073.87666163125</v>
    <v>28</v>
    <v>495.23</v>
    <v>179003377310</v>
    <v>INTUITIVE SURGICAL, INC.</v>
    <v>INTUITIVE SURGICAL, INC.</v>
    <v>497.15</v>
    <v>63.438200000000002</v>
    <v>499.53</v>
    <v>504.05</v>
    <v>504.35</v>
    <v>355130200</v>
    <v>ISRG</v>
    <v>INTUITIVE SURGICAL, INC. (XNAS:ISRG)</v>
    <v>1553730</v>
    <v>2334599</v>
    <v>1995</v>
  </rv>
  <rv s="1">
    <v>29</v>
  </rv>
  <rv s="2">
    <v>http://en.wikipedia.org/wiki/Public_domain</v>
    <v>Public domain</v>
  </rv>
  <rv s="2">
    <v>https://en.wikipedia.org/wiki/Microsoft</v>
    <v>Wikipedia</v>
  </rv>
  <rv s="5">
    <v>31</v>
    <v>32</v>
  </rv>
  <rv s="6">
    <v>14</v>
    <v>https://www.bing.com/th?id=AMMS_e6e837c7bf3a77408619758b7447855a&amp;qlt=95</v>
    <v>33</v>
    <v>0</v>
    <v>https://www.bing.com/images/search?form=xlimg&amp;q=microsoft</v>
    <v>Image of MICROSOFT CORPORATION</v>
  </rv>
  <rv s="2">
    <v>https://www.bing.com/financeapi/forcetrigger?t=a1xzim&amp;q=XNAS%3aMSFT&amp;form=skydnc</v>
    <v>Learn more on Bing</v>
  </rv>
  <rv s="7">
    <v>10</v>
    <v>MICROSOFT CORPORATION (XNAS:MSFT)</v>
    <v>12</v>
    <v>13</v>
    <v>Finance</v>
    <v>7</v>
    <v>en-US</v>
    <v>a1xzim</v>
    <v>268435456</v>
    <v>1</v>
    <v>Powered by Refinitiv</v>
    <v>555.45000000000005</v>
    <v>344.79</v>
    <v>1.0945</v>
    <v>-1.23</v>
    <v>-3.0869999999999999E-3</v>
    <v>-0.18</v>
    <v>-4.5310000000000001E-4</v>
    <v>USD</v>
    <v>Microsoft Corporation is a technology company that develops and supports software, services, devices, and solutions. Its Productivity and Business Processes segment consists of products and services in its portfolio of productivity, communication, and information services, spanning a variety of devices and platforms. It comprises Microsoft 365 Commercial products and cloud services; Microsoft 365 Consumer products and cloud services; LinkedIn, and Dynamics products and cloud services. The Intelligent Cloud segment consists of its public, private, and hybrid server products and cloud services. It comprises server products and cloud services, including Azure, and enterprise and partner services, including Enterprise Support Services. Its More Personal Computing segment primarily comprises Windows and Devices, including Windows OEM licensing; Gaming, including Xbox hardware and Xbox content; Search and news advertising, comprising Bing and Copilot, Microsoft News, and Microsoft Edge.</v>
    <v>228000</v>
    <v>Nasdaq Stock Market</v>
    <v>XNAS</v>
    <v>XNAS</v>
    <v>One Microsoft Way, REDMOND, WA, 98052 US</v>
    <v>400.11590000000001</v>
    <v>34</v>
    <v>Software &amp; IT Services</v>
    <v>Stock</v>
    <v>46073.953757777344</v>
    <v>35</v>
    <v>395.16</v>
    <v>2949682607670</v>
    <v>MICROSOFT CORPORATION</v>
    <v>MICROSOFT CORPORATION</v>
    <v>396.11</v>
    <v>24.931100000000001</v>
    <v>398.46</v>
    <v>397.23</v>
    <v>397.05</v>
    <v>7425629000</v>
    <v>MSFT</v>
    <v>MICROSOFT CORPORATION (XNAS:MSFT)</v>
    <v>34015249</v>
    <v>42225598</v>
    <v>1993</v>
  </rv>
  <rv s="1">
    <v>36</v>
  </rv>
  <rv s="2">
    <v>https://www.bing.com/financeapi/forcetrigger?t=a1yv52&amp;q=XNAS%3aNVDA&amp;form=skydnc</v>
    <v>Learn more on Bing</v>
  </rv>
  <rv s="3">
    <v>5</v>
    <v>NVIDIA CORPORATION (XNAS:NVDA)</v>
    <v>6</v>
    <v>3</v>
    <v>Finance</v>
    <v>7</v>
    <v>en-US</v>
    <v>a1yv52</v>
    <v>268435456</v>
    <v>1</v>
    <v>Powered by Refinitiv</v>
    <v>212.18989999999999</v>
    <v>86.62</v>
    <v>2.3182</v>
    <v>1.92</v>
    <v>1.0218E-2</v>
    <v>0.1799</v>
    <v>9.4769999999999989E-4</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190.33</v>
    <v>Semiconductors &amp; Semiconductor Equipment</v>
    <v>Stock</v>
    <v>46073.952684606251</v>
    <v>38</v>
    <v>185.93780000000001</v>
    <v>4612626000000</v>
    <v>NVIDIA CORPORATION</v>
    <v>NVIDIA CORPORATION</v>
    <v>186.57</v>
    <v>46.539299999999997</v>
    <v>187.9</v>
    <v>189.82</v>
    <v>189.9999</v>
    <v>24300000000</v>
    <v>NVDA</v>
    <v>NVIDIA CORPORATION (XNAS:NVDA)</v>
    <v>178422337</v>
    <v>173016134</v>
    <v>1998</v>
  </rv>
  <rv s="1">
    <v>39</v>
  </rv>
  <rv s="2">
    <v>https://www.bing.com/financeapi/forcetrigger?t=a1z6qh&amp;q=XNAS%3aOKTA&amp;form=skydnc</v>
    <v>Learn more on Bing</v>
  </rv>
  <rv s="3">
    <v>5</v>
    <v>OKTA, INC. (XNAS:OKTA)</v>
    <v>6</v>
    <v>3</v>
    <v>Finance</v>
    <v>7</v>
    <v>en-US</v>
    <v>a1z6qh</v>
    <v>268435456</v>
    <v>1</v>
    <v>Powered by Refinitiv</v>
    <v>127.56699999999999</v>
    <v>73.739999999999995</v>
    <v>0.78090000000000004</v>
    <v>-7.51</v>
    <v>-9.1808999999999988E-2</v>
    <v>-0.19</v>
    <v>-2.5580000000000004E-3</v>
    <v>USD</v>
    <v>Okta, Inc. is an independent identity partner. The Company’s Okta Platform and Auth () Platform enable its customers to securely connect the right people to the right technologies and services at the right time. It offers independent and neutral cloud-based identity solutions that allow customers to integrate with nearly any application, service or cloud that they choose through its platforms. Organizations use the Company’s Identity Platform to collaborate with their partners, and to provide their customers with secure experiences in the cloud and via mobile devices. Developers leverage the Workforce Identity Cloud and Customer Identity Cloud, powered by Auth (), to securely and efficiently embed identity into the software they build, allowing them to innovate and focus on their core missions. Its Okta Platform enables its customers to automate and secure access across their ecosystem of employees, contractors and partners, increasing collaboration across their workforces.</v>
    <v>5914</v>
    <v>Nasdaq Stock Market</v>
    <v>XNAS</v>
    <v>XNAS</v>
    <v>100 First Street, SAN FRANCISCO, CA, 94105 US</v>
    <v>83.53</v>
    <v>Software &amp; IT Services</v>
    <v>Stock</v>
    <v>46073.923338263281</v>
    <v>41</v>
    <v>73.739999999999995</v>
    <v>13166431558</v>
    <v>OKTA, INC.</v>
    <v>OKTA, INC.</v>
    <v>81.045000000000002</v>
    <v>76.9375</v>
    <v>81.8</v>
    <v>74.290000000000006</v>
    <v>74.099999999999994</v>
    <v>177230200</v>
    <v>OKTA</v>
    <v>OKTA, INC. (XNAS:OKTA)</v>
    <v>6074123</v>
    <v>2644068</v>
    <v>2010</v>
  </rv>
  <rv s="1">
    <v>42</v>
  </rv>
  <rv s="2">
    <v>http://pt.wikipedia.org/wiki/Oracle_Corporation</v>
    <v>Wikipedia</v>
  </rv>
  <rv s="5">
    <v>31</v>
    <v>44</v>
  </rv>
  <rv s="6">
    <v>14</v>
    <v>https://www.bing.com/th?id=AMMS_672116c618c664d13b2515d6587ba357&amp;qlt=95</v>
    <v>45</v>
    <v>0</v>
    <v>https://www.bing.com/images/search?form=xlimg&amp;q=oracle+corporation</v>
    <v>Image of ORACLE CORPORATION</v>
  </rv>
  <rv s="2">
    <v>https://www.bing.com/financeapi/forcetrigger?t=a1zbec&amp;q=XNYS%3aORCL&amp;form=skydnc</v>
    <v>Learn more on Bing</v>
  </rv>
  <rv s="7">
    <v>10</v>
    <v>ORACLE CORPORATION (XNYS:ORCL)</v>
    <v>12</v>
    <v>13</v>
    <v>Finance</v>
    <v>7</v>
    <v>en-US</v>
    <v>a1zbec</v>
    <v>268435456</v>
    <v>1</v>
    <v>Powered by Refinitiv</v>
    <v>345.72</v>
    <v>118.86</v>
    <v>1.6464000000000001</v>
    <v>-8.4600000000000009</v>
    <v>-5.4044000000000002E-2</v>
    <v>-0.38</v>
    <v>-2.5660000000000001E-3</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153.99</v>
    <v>46</v>
    <v>Software &amp; IT Services</v>
    <v>Stock</v>
    <v>46073.953757777344</v>
    <v>47</v>
    <v>147.38999999999999</v>
    <v>425453090400</v>
    <v>ORACLE CORPORATION</v>
    <v>ORACLE CORPORATION</v>
    <v>153.30000000000001</v>
    <v>27.700500000000002</v>
    <v>156.54</v>
    <v>148.08000000000001</v>
    <v>147.69999999999999</v>
    <v>2873130000</v>
    <v>ORCL</v>
    <v>ORACLE CORPORATION (XNYS:ORCL)</v>
    <v>29621889</v>
    <v>29195075</v>
    <v>2005</v>
  </rv>
  <rv s="1">
    <v>48</v>
  </rv>
  <rv s="2">
    <v>https://www.bing.com/financeapi/forcetrigger?t=a1zgm7&amp;q=XNAS%3aPANW&amp;form=skydnc</v>
    <v>Learn more on Bing</v>
  </rv>
  <rv s="3">
    <v>5</v>
    <v>PALO ALTO NETWORKS, INC. (XNAS:PANW)</v>
    <v>6</v>
    <v>3</v>
    <v>Finance</v>
    <v>7</v>
    <v>en-US</v>
    <v>a1zgm7</v>
    <v>268435456</v>
    <v>1</v>
    <v>Powered by Refinitiv</v>
    <v>223.61</v>
    <v>144.14500000000001</v>
    <v>0.77349999999999997</v>
    <v>-2.29</v>
    <v>-1.5167E-2</v>
    <v>0.3</v>
    <v>2.0169999999999997E-3</v>
    <v>USD</v>
    <v>Palo Alto Networks, Inc. is a global artificial intelligence (AI) cybersecurity company, with a comprehensive portfolio of cybersecurity solutions and platforms across network, cloud, security operations, AI and Identity. Its network security platform includes Secure Access Service Edge (SASE), Next-Generation Firewalls, Cloud Delivered Security Services (CDSS), Prisma AIRS, and Strata Cloud Manager (SCM). It delivers security operations capabilities that unifies standalone Security Information and Event Management (SIEM) tools, endpoint security, security automation, cloud detection and response (CDR), as well as attack surface management (ASM) capabilities on its Cortex platform. It delivers comprehensive security across the cloud application development lifecycle through Cortex Cloud. Its Unit 42 brings together expertise across threat research, incident response, and security consulting to deliver intelligence-driven, response-ready outcomes that help customers reduce cyber risk.</v>
    <v>17027</v>
    <v>Nasdaq Stock Market</v>
    <v>XNAS</v>
    <v>XNAS</v>
    <v>3000 Tannery Way, SANTA CLARA, CA, 95054 US</v>
    <v>158.16999999999999</v>
    <v>Software &amp; IT Services</v>
    <v>Stock</v>
    <v>46073.913541399997</v>
    <v>50</v>
    <v>148.4</v>
    <v>121339199999</v>
    <v>PALO ALTO NETWORKS, INC.</v>
    <v>PALO ALTO NETWORKS, INC.</v>
    <v>150.35499999999999</v>
    <v>83.606999999999999</v>
    <v>150.99</v>
    <v>148.69999999999999</v>
    <v>149</v>
    <v>816000000</v>
    <v>PANW</v>
    <v>PALO ALTO NETWORKS, INC. (XNAS:PANW)</v>
    <v>25857844</v>
    <v>12526657</v>
    <v>2005</v>
  </rv>
  <rv s="1">
    <v>51</v>
  </rv>
  <rv s="2">
    <v>http://en.wikipedia.org/wiki/Qualcomm</v>
    <v>Wikipedia</v>
  </rv>
  <rv s="5">
    <v>31</v>
    <v>53</v>
  </rv>
  <rv s="6">
    <v>14</v>
    <v>https://www.bing.com/th?id=AMMS_2b1c176dae370ecc0d55a1517537f595&amp;qlt=95</v>
    <v>54</v>
    <v>0</v>
    <v>https://www.bing.com/images/search?form=xlimg&amp;q=qualcomm</v>
    <v>Image of QUALCOMM INCORPORATED</v>
  </rv>
  <rv s="2">
    <v>https://www.bing.com/financeapi/forcetrigger?t=a21k2w&amp;q=XNAS%3aQCOM&amp;form=skydnc</v>
    <v>Learn more on Bing</v>
  </rv>
  <rv s="7">
    <v>10</v>
    <v>QUALCOMM INCORPORATED (XNAS:QCOM)</v>
    <v>12</v>
    <v>13</v>
    <v>Finance</v>
    <v>7</v>
    <v>en-US</v>
    <v>a21k2w</v>
    <v>268435456</v>
    <v>1</v>
    <v>Powered by Refinitiv</v>
    <v>205.95</v>
    <v>120.8019</v>
    <v>1.2450000000000001</v>
    <v>1.61</v>
    <v>1.1396999999999999E-2</v>
    <v>-0.77</v>
    <v>-5.3890000000000006E-3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144.07</v>
    <v>55</v>
    <v>Semiconductors &amp; Semiconductor Equipment</v>
    <v>Stock</v>
    <v>46073.953759270313</v>
    <v>56</v>
    <v>140.1</v>
    <v>152452960000</v>
    <v>QUALCOMM INCORPORATED</v>
    <v>QUALCOMM INCORPORATED</v>
    <v>140.30500000000001</v>
    <v>29.185600000000001</v>
    <v>141.27000000000001</v>
    <v>142.88</v>
    <v>142.11000000000001</v>
    <v>1067000000</v>
    <v>QCOM</v>
    <v>QUALCOMM INCORPORATED (XNAS:QCOM)</v>
    <v>10265141</v>
    <v>11146093</v>
    <v>1991</v>
  </rv>
  <rv s="1">
    <v>57</v>
  </rv>
  <rv s="2">
    <v>https://www.bing.com/financeapi/forcetrigger?t=a23vdm&amp;q=XNYS%3aSYK&amp;form=skydnc</v>
    <v>Learn more on Bing</v>
  </rv>
  <rv s="3">
    <v>5</v>
    <v>STRYKER CORPORATION (XNYS:SYK)</v>
    <v>6</v>
    <v>3</v>
    <v>Finance</v>
    <v>4</v>
    <v>en-US</v>
    <v>a23vdm</v>
    <v>268435456</v>
    <v>1</v>
    <v>Powered by Refinitiv</v>
    <v>404.87</v>
    <v>329.16079999999999</v>
    <v>0.86470000000000002</v>
    <v>7.52</v>
    <v>2.0178999999999999E-2</v>
    <v>7.0000000000000007E-2</v>
    <v>1.841E-4</v>
    <v>USD</v>
    <v>Stryker Corporation is a medical technology company. The Company offers products and services in MedSurg, Neurotechnology and Orthopaedics that help improve patient and healthcare outcomes. Its segments include MedSurg and Neurotechnology and Orthopaedics. Its MedSurg products include surgical equipment, patient and caregiver safety technologies, and navigation systems (Instruments), endoscopic and communications systems (Endoscopy), and patient handling, emergency medical equipment, intensive care disposable products and clinical communication and artificial intelligence-assisted virtual care platform technology (Medical). Neurotechnology includes neurosurgical, neurovascular and craniomaxillofacial implant products. Its Orthopaedics products primarily include implants used in total joint replacements, such as hip, knee and shoulder, and trauma and extremities surgeries. The Company also offers solutions for venous thromboembolism clot removal without the use of thrombolytic drugs.</v>
    <v>56000</v>
    <v>New York Stock Exchange</v>
    <v>XNYS</v>
    <v>XNYS</v>
    <v>1941 STRYKER WAY, PORTAGE, MI, 49002 US</v>
    <v>381.38990000000001</v>
    <v>Healthcare Equipment &amp; Supplies</v>
    <v>Stock</v>
    <v>46073.971239421095</v>
    <v>59</v>
    <v>370.15</v>
    <v>145490589966</v>
    <v>STRYKER CORPORATION</v>
    <v>STRYKER CORPORATION</v>
    <v>374.5</v>
    <v>44.373100000000001</v>
    <v>372.66</v>
    <v>380.18</v>
    <v>380.3</v>
    <v>382688700</v>
    <v>SYK</v>
    <v>STRYKER CORPORATION (XNYS:SYK)</v>
    <v>1806718</v>
    <v>2176831</v>
    <v>1946</v>
  </rv>
  <rv s="1">
    <v>60</v>
  </rv>
  <rv s="2">
    <v>https://www.bing.com/financeapi/forcetrigger?t=bzwqf2&amp;q=XNAS%3aSYM&amp;form=skydnc</v>
    <v>Learn more on Bing</v>
  </rv>
  <rv s="3">
    <v>5</v>
    <v>SYMBOTIC INC. (XNAS:SYM)</v>
    <v>6</v>
    <v>3</v>
    <v>Finance</v>
    <v>7</v>
    <v>en-US</v>
    <v>bzwqf2</v>
    <v>268435456</v>
    <v>1</v>
    <v>Powered by Refinitiv</v>
    <v>87.88</v>
    <v>16.317799999999998</v>
    <v>2.1421000000000001</v>
    <v>-1.28</v>
    <v>-2.3241000000000001E-2</v>
    <v>-0.19500000000000001</v>
    <v>-3.6249999999999998E-3</v>
    <v>USD</v>
    <v>Symbotic Inc. is an automation technology company reimagining the supply chain with its end-to-end, artificial intelligence (AI) powered robotic and software platform. It develops, commercializes, and deploys end-to-end technology solutions that improve supply chain operations. It automates the processing of pallets and cases in large warehouses or distribution centers for some of the retail and wholesale companies in the world. The Symbotic platform is based on an approach to connecting producers of goods to end users in a way that resolves the mismatches of quantity, timing and location that arise between the two, while reducing costs. It utilizes fully autonomous robots, collectively controlled by its AI-enabled system software, to achieve at scale, real world supply chain improvements. It serves various industries: retail grocery, food wholesale, consumer packaged goods, retail general merchandise, footwear and apparel, and food and beverage.</v>
    <v>2000</v>
    <v>Nasdaq Stock Market</v>
    <v>XNAS</v>
    <v>XNAS</v>
    <v>200 Research Drive, WILMINGTON, MA, 01887 US</v>
    <v>54.89</v>
    <v>Machinery, Equipment &amp; Components</v>
    <v>Stock</v>
    <v>46073.878883437501</v>
    <v>62</v>
    <v>52.52</v>
    <v>32393831981</v>
    <v>SYMBOTIC INC.</v>
    <v>SYMBOTIC INC.</v>
    <v>54.72</v>
    <v>0</v>
    <v>55.075000000000003</v>
    <v>53.795000000000002</v>
    <v>53.6</v>
    <v>602171800</v>
    <v>SYM</v>
    <v>SYMBOTIC INC. (XNAS:SYM)</v>
    <v>1572184</v>
    <v>2264118</v>
    <v>2022</v>
  </rv>
  <rv s="1">
    <v>63</v>
  </rv>
  <rv s="0">
    <v>0</v>
    <v>TEMPUS AI, INC (XNAS:TEM)</v>
    <v>2</v>
    <v>3</v>
    <v>Finance</v>
    <v>4</v>
    <v>en-US</v>
    <v>cd9jsm</v>
    <v>268435456</v>
    <v>1</v>
    <v>Powered by Refinitiv</v>
    <v>104.32</v>
    <v>36.22</v>
    <v>3.173</v>
    <v>-1.59</v>
    <v>-2.6518E-2</v>
    <v>0.2</v>
    <v>3.4260000000000002E-3</v>
    <v>USD</v>
    <v>Tempus AI, Inc. is a technology company advancing precision medicine through the practical application of artificial intelligence in healthcare. It offers AI-enabled precision medicine solutions to physicians to deliver personalized patient care and, in parallel, facilitates discovery, development and delivery of optimal therapeutics. It provides three product lines: Genomics, Data and artificial intelligence applications (AI). The Genomics product line leverages its laboratories to provide next generation sequencing (NGS) diagnostics, polymerase chain reaction, profiling, molecular genotyping and other anatomic and molecular pathology testing. The data generated in its lab or ingested into its platform is structured and de-identified, prior to commercialization. Its AI Applications is focused on developing and providing diagnostics that are algorithmic in nature, implementing new software as a medical device, and building and deploying clinical decision support tools.</v>
    <v>2400</v>
    <v>Nasdaq Stock Market</v>
    <v>XNAS</v>
    <v>XNAS</v>
    <v>600 West Chicago Avenue, Suite 510, CHICAGO, IL, 60654 US</v>
    <v>62</v>
    <v>Biotechnology &amp; Medical Research</v>
    <v>Stock</v>
    <v>46073.875289039061</v>
    <v>57.68</v>
    <v>10384449101</v>
    <v>TEMPUS AI, INC</v>
    <v>TEMPUS AI, INC</v>
    <v>61.88</v>
    <v>0</v>
    <v>59.96</v>
    <v>58.37</v>
    <v>58.57</v>
    <v>177907300</v>
    <v>TEM</v>
    <v>TEMPUS AI, INC (XNAS:TEM)</v>
    <v>7902968</v>
    <v>5448176</v>
    <v>2025</v>
  </rv>
  <rv s="1">
    <v>65</v>
  </rv>
  <rv s="2">
    <v>https://www.bing.com/financeapi/forcetrigger?t=b19hc7&amp;q=XNYS%3aVRT&amp;form=skydnc</v>
    <v>Learn more on Bing</v>
  </rv>
  <rv s="3">
    <v>5</v>
    <v>Vertiv Holdings Co (XNYS:VRT)</v>
    <v>6</v>
    <v>3</v>
    <v>Finance</v>
    <v>7</v>
    <v>en-US</v>
    <v>b19hc7</v>
    <v>268435456</v>
    <v>1</v>
    <v>Powered by Refinitiv</v>
    <v>255.54</v>
    <v>53.6</v>
    <v>2.0508000000000002</v>
    <v>0.69</v>
    <v>2.8389999999999999E-3</v>
    <v>-0.05</v>
    <v>-2.051E-4</v>
    <v>USD</v>
    <v>Vertiv Holdings Co. is a global provider of critical digital infrastructure. It provides mission-critical digital infrastructure technologies and lifecycle services primarily for data centers, communication networks, and commercial and industrial environments. Its offerings include alternate current (AC) and direct current (DC) power management products, switchgear and busbar products, thermal management products, integrated rack systems, modular solutions, management systems for monitoring and controlling digital infrastructure, and services. Its business segments include Americas, Asia Pacific, and Europe, Middle East &amp; Africa. The Americas segment includes products which include AC and DC power management, thermal management, low/medium voltage switchgear, busbar, integrated modular solutions, racks, single phase UPS, rack power distribution, rack thermal systems, configurable integrated solutions, energy storage solutions, hardware, and software for managing I.T. equipment.</v>
    <v>34000</v>
    <v>New York Stock Exchange</v>
    <v>XNYS</v>
    <v>XNYS</v>
    <v>505 N. Cleveland Ave., WESTERVILLE, OH, 43082 US</v>
    <v>246.8</v>
    <v>Machinery, Equipment &amp; Components</v>
    <v>Stock</v>
    <v>46073.923334478903</v>
    <v>67</v>
    <v>238.19</v>
    <v>93258360000</v>
    <v>Vertiv Holdings Co</v>
    <v>Vertiv Holdings Co</v>
    <v>240.99</v>
    <v>71.281300000000002</v>
    <v>243.06</v>
    <v>243.75</v>
    <v>243.7</v>
    <v>382598400</v>
    <v>VRT</v>
    <v>Vertiv Holdings Co (XNYS:VRT)</v>
    <v>3879175</v>
    <v>6137940</v>
    <v>2016</v>
  </rv>
  <rv s="1">
    <v>68</v>
  </rv>
  <rv s="2">
    <v>https://www.bing.com/financeapi/forcetrigger?t=a25l52&amp;q=XNYS%3aVST&amp;form=skydnc</v>
    <v>Learn more on Bing</v>
  </rv>
  <rv s="3">
    <v>5</v>
    <v>VISTRA CORP. (XNYS:VST)</v>
    <v>6</v>
    <v>3</v>
    <v>Finance</v>
    <v>4</v>
    <v>en-US</v>
    <v>a25l52</v>
    <v>268435456</v>
    <v>1</v>
    <v>Powered by Refinitiv</v>
    <v>219.82</v>
    <v>90.51</v>
    <v>1.4356</v>
    <v>-1.165</v>
    <v>-6.7539999999999996E-3</v>
    <v>0.40699999999999997</v>
    <v>2.3749999999999999E-3</v>
    <v>USD</v>
    <v>Vistra Corp. is an integrated retail electricity and power generation company that provides essential resources to customers, businesses, and communities from California to Maine. It operates a reliable power generation fleet of natural gas, nuclear, coal, solar, and battery energy storage facilities while taking an innovative, customer-centric approach to its retail business. Its segments include Retail, Texas, East, West, and Asset Closure. The Retail segment is engaged in retail sales of electricity and natural gas to residential, commercial and industrial customers. The Texas and East segments are engaged in electricity generation, wholesale energy sales and purchases, commodity risk management activities, fuel procurement, and logistics management. The West segment represents results from the CAISO market, including its battery ESS projects at its Moss Landing power plant site. The Asset Closure segment is engaged in the decommissioning and reclamation of retired plants and mines.</v>
    <v>6850</v>
    <v>New York Stock Exchange</v>
    <v>XNYS</v>
    <v>XNYS</v>
    <v>6555 Sierra Drive, IRVING, TX, 75039 US</v>
    <v>173.4999</v>
    <v>Electrical Utilities &amp; IPPs</v>
    <v>Stock</v>
    <v>46074.039299652344</v>
    <v>70</v>
    <v>169</v>
    <v>58052667042</v>
    <v>VISTRA CORP.</v>
    <v>VISTRA CORP.</v>
    <v>172.3</v>
    <v>62.556199999999997</v>
    <v>172.5</v>
    <v>171.33500000000001</v>
    <v>171.80699999999999</v>
    <v>338825500</v>
    <v>VST</v>
    <v>VISTRA CORP. (XNYS:VST)</v>
    <v>3879803</v>
    <v>5950549</v>
    <v>2016</v>
  </rv>
  <rv s="1">
    <v>71</v>
  </rv>
  <rv s="2">
    <v>https://www.bing.com/financeapi/forcetrigger?t=azbtyc&amp;q=XNAS%3aZS&amp;form=skydnc</v>
    <v>Learn more on Bing</v>
  </rv>
  <rv s="3">
    <v>5</v>
    <v>ZSCALER, INC. (XNAS:ZS)</v>
    <v>6</v>
    <v>3</v>
    <v>Finance</v>
    <v>4</v>
    <v>en-US</v>
    <v>azbtyc</v>
    <v>268435456</v>
    <v>1</v>
    <v>Powered by Refinitiv</v>
    <v>336.99</v>
    <v>159.66</v>
    <v>1.0475000000000001</v>
    <v>-9.24</v>
    <v>-5.4678000000000004E-2</v>
    <v>0.14000000000000001</v>
    <v>8.7639999999999994E-4</v>
    <v>USD</v>
    <v>Zscaler, Inc. is a cloud security company. The Company has developed a platform incorporating core security functionalities needed to enable fast and secure access to cloud resources based on identity, context and an organization’s policies. Its Zscaler Zero Trust Exchange platform protects thousands of customers from cyberattacks and data loss by securely connecting users, devices, and applications in any location. Its solution is a purpose-built, multi-tenant, distributed cloud platform that incorporates the security functionality needed to enable users, applications, and devices to safely and efficiently utilize authorized applications and services based on an organization’s business policies. It delivers its solutions using a software-as-a-service (SaaS) business model and sells subscriptions to customers to access its cloud platform, together with related support services. It offers a security platform that combines its platform with automated security operations.</v>
    <v>7923</v>
    <v>Nasdaq Stock Market</v>
    <v>XNAS</v>
    <v>XNAS</v>
    <v>120 Holger Way, SAN JOSE, CA, 95134 US</v>
    <v>172.6</v>
    <v>Software &amp; IT Services</v>
    <v>Stock</v>
    <v>46074.041581515623</v>
    <v>73</v>
    <v>159.66</v>
    <v>25475524200</v>
    <v>ZSCALER, INC.</v>
    <v>ZSCALER, INC.</v>
    <v>167</v>
    <v>0</v>
    <v>168.99</v>
    <v>159.75</v>
    <v>159.88999999999999</v>
    <v>159471200</v>
    <v>ZS</v>
    <v>ZSCALER, INC. (XNAS:ZS)</v>
    <v>3268445</v>
    <v>2318483</v>
    <v>2007</v>
  </rv>
  <rv s="1">
    <v>74</v>
  </rv>
</rvData>
</file>

<file path=xl/richData/rdrichvaluestructure.xml><?xml version="1.0" encoding="utf-8"?>
<rvStructures xmlns="http://schemas.microsoft.com/office/spreadsheetml/2017/richdata" count="8">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
    <k n="%cvi" t="r"/>
  </s>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5">
    <spb s="0">
      <v>0</v>
      <v>Name</v>
    </spb>
    <spb s="1">
      <v>0</v>
      <v>0</v>
      <v>0</v>
    </spb>
    <spb s="2">
      <v>1</v>
      <v>1</v>
      <v>1</v>
    </spb>
    <spb s="3">
      <v>1</v>
      <v>2</v>
      <v>2</v>
      <v>1</v>
      <v>3</v>
      <v>1</v>
      <v>1</v>
      <v>1</v>
      <v>4</v>
      <v>4</v>
      <v>5</v>
      <v>6</v>
      <v>1</v>
      <v>1</v>
      <v>1</v>
      <v>4</v>
      <v>7</v>
      <v>8</v>
      <v>9</v>
      <v>4</v>
      <v>1</v>
      <v>1</v>
      <v>5</v>
    </spb>
    <spb s="4">
      <v>at close</v>
      <v>from previous close</v>
      <v>from previous close</v>
      <v>Source: Nasdaq Last Sale</v>
      <v>GMT</v>
      <v>Real-Time Nasdaq Last Sale</v>
      <v>from close</v>
      <v>from close</v>
    </spb>
    <spb s="5">
      <v>1</v>
      <v>Name</v>
      <v>LearnMoreOnLink</v>
    </spb>
    <spb s="6">
      <v>1</v>
      <v>1</v>
      <v>1</v>
      <v>1</v>
    </spb>
    <spb s="4">
      <v>at close</v>
      <v>from previous close</v>
      <v>from previous close</v>
      <v>Source: Nasdaq</v>
      <v>GMT</v>
      <v>Delayed 15 minutes</v>
      <v>from close</v>
      <v>from close</v>
    </spb>
    <spb s="5">
      <v>2</v>
      <v>Name</v>
      <v>LearnMoreOnLink</v>
    </spb>
    <spb s="7">
      <v>1</v>
      <v>2</v>
      <v>2</v>
      <v>1</v>
      <v>3</v>
      <v>1</v>
      <v>1</v>
      <v>1</v>
      <v>4</v>
      <v>4</v>
      <v>5</v>
      <v>6</v>
      <v>1</v>
      <v>1</v>
      <v>1</v>
      <v>4</v>
      <v>7</v>
      <v>9</v>
      <v>4</v>
      <v>1</v>
      <v>1</v>
      <v>5</v>
    </spb>
    <spb s="5">
      <v>3</v>
      <v>Name</v>
      <v>LearnMoreOnLink</v>
    </spb>
    <spb s="8">
      <v>0</v>
      <v>0</v>
    </spb>
    <spb s="9">
      <v>11</v>
      <v>1</v>
      <v>1</v>
      <v>1</v>
      <v>1</v>
    </spb>
    <spb s="10">
      <v>1</v>
      <v>2</v>
      <v>2</v>
      <v>1</v>
      <v>3</v>
      <v>1</v>
      <v>10</v>
      <v>1</v>
      <v>1</v>
      <v>4</v>
      <v>4</v>
      <v>5</v>
      <v>6</v>
      <v>1</v>
      <v>1</v>
      <v>1</v>
      <v>4</v>
      <v>7</v>
      <v>8</v>
      <v>9</v>
      <v>4</v>
      <v>1</v>
      <v>1</v>
      <v>5</v>
    </spb>
    <spb s="11">
      <v>Powered by Refinitiv</v>
    </spb>
  </spbData>
</supportingPropertyBags>
</file>

<file path=xl/richData/rdsupportingpropertybagstructure.xml><?xml version="1.0" encoding="utf-8"?>
<spbStructures xmlns="http://schemas.microsoft.com/office/spreadsheetml/2017/richdata2" count="12">
  <s>
    <k n="^Order" t="spba"/>
    <k n="TitleProperty" t="s"/>
  </s>
  <s>
    <k n="ShowInCardView" t="b"/>
    <k n="ShowInDotNotation" t="b"/>
    <k n="ShowInAutoComplete" t="b"/>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Order" t="spba"/>
    <k n="TitleProperty" t="s"/>
    <k n="SubTitleProperty"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7FEA3-2D5B-404B-9DCA-1FFB474DE3BF}" name="exampleTABLE" displayName="exampleTABLE" ref="A2:F25" totalsRowShown="0">
  <autoFilter ref="A2:F25" xr:uid="{6F57FEA3-2D5B-404B-9DCA-1FFB474DE3BF}"/>
  <sortState xmlns:xlrd2="http://schemas.microsoft.com/office/spreadsheetml/2017/richdata2" ref="A3:F25">
    <sortCondition ref="B2:B25"/>
  </sortState>
  <tableColumns count="6">
    <tableColumn id="1" xr3:uid="{1C96840D-F37A-DC4F-8B09-33842C467011}" name="stock"/>
    <tableColumn id="2" xr3:uid="{DF4FBC80-9A08-104D-9C40-869155D0BD11}" name="symbol">
      <calculatedColumnFormula array="1">_FV(A3,"Ticker symbol",TRUE)</calculatedColumnFormula>
    </tableColumn>
    <tableColumn id="3" xr3:uid="{BCDA82D4-0EDF-954B-AF97-55F589F47698}" name="jun 1 price" dataCellStyle="Currency"/>
    <tableColumn id="4" xr3:uid="{85926045-DA9C-334A-A03D-ACC34C414034}" name="today" dataDxfId="2">
      <calculatedColumnFormula array="1">_FV(exampleTABLE[[#This Row],[stock]],"Price")</calculatedColumnFormula>
    </tableColumn>
    <tableColumn id="5" xr3:uid="{BDA74D64-8E4F-F341-8A73-646B5BCE1071}" name="change" dataDxfId="1">
      <calculatedColumnFormula>D3-C3</calculatedColumnFormula>
    </tableColumn>
    <tableColumn id="6" xr3:uid="{5F554CF6-E5B2-064E-AFE4-B650F6B14AE3}" name="%" dataDxfId="0" dataCellStyle="Percent">
      <calculatedColumnFormula>E3/C3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2C8F-8DAF-C947-BC76-B49855E925BB}">
  <dimension ref="A1:I201"/>
  <sheetViews>
    <sheetView tabSelected="1" workbookViewId="0">
      <selection activeCell="E26" sqref="E26"/>
    </sheetView>
  </sheetViews>
  <sheetFormatPr baseColWidth="10" defaultRowHeight="16" x14ac:dyDescent="0.2"/>
  <cols>
    <col min="1" max="1" width="33" customWidth="1"/>
    <col min="2" max="2" width="9.1640625" customWidth="1"/>
    <col min="3" max="3" width="11.83203125" customWidth="1"/>
    <col min="6" max="6" width="10.83203125" style="2"/>
  </cols>
  <sheetData>
    <row r="1" spans="1:9" x14ac:dyDescent="0.2">
      <c r="A1" t="s">
        <v>6</v>
      </c>
      <c r="F1" s="9">
        <f ca="1">AVERAGE(exampleTABLE[%])</f>
        <v>0.24102727857965225</v>
      </c>
    </row>
    <row r="2" spans="1:9" ht="19" x14ac:dyDescent="0.25">
      <c r="A2" t="s">
        <v>5</v>
      </c>
      <c r="B2" t="s">
        <v>4</v>
      </c>
      <c r="C2" t="s">
        <v>0</v>
      </c>
      <c r="D2" t="s">
        <v>1</v>
      </c>
      <c r="E2" t="s">
        <v>2</v>
      </c>
      <c r="F2" s="2" t="s">
        <v>3</v>
      </c>
      <c r="H2" s="3"/>
      <c r="I2" s="3"/>
    </row>
    <row r="3" spans="1:9" x14ac:dyDescent="0.2">
      <c r="A3" t="e" vm="1">
        <v>#VALUE!</v>
      </c>
      <c r="B3" t="str" cm="1">
        <f t="array" aca="1" ref="B3" ca="1">_FV(A3,"Ticker symbol",TRUE)</f>
        <v>ALAB</v>
      </c>
      <c r="C3" s="7">
        <v>89.93</v>
      </c>
      <c r="D3" s="1" cm="1">
        <f t="array" aca="1" ref="D3" ca="1">_FV(exampleTABLE[[#This Row],[stock]],"Price")</f>
        <v>129.68</v>
      </c>
      <c r="E3" s="1">
        <f t="shared" ref="E3:E25" ca="1" si="0">D3-C3</f>
        <v>39.75</v>
      </c>
      <c r="F3" s="8">
        <f t="shared" ref="F3:F25" ca="1" si="1">E3/C3</f>
        <v>0.44201045257422439</v>
      </c>
    </row>
    <row r="4" spans="1:9" x14ac:dyDescent="0.2">
      <c r="A4" t="e" vm="2">
        <v>#VALUE!</v>
      </c>
      <c r="B4" t="str" cm="1">
        <f t="array" aca="1" ref="B4" ca="1">_FV(A4,"Ticker symbol",TRUE)</f>
        <v>AMZN</v>
      </c>
      <c r="C4" s="7">
        <v>204.98</v>
      </c>
      <c r="D4" s="1" cm="1">
        <f t="array" aca="1" ref="D4" ca="1">_FV(exampleTABLE[[#This Row],[stock]],"Price")</f>
        <v>210.11</v>
      </c>
      <c r="E4" s="1">
        <f t="shared" ca="1" si="0"/>
        <v>5.1300000000000239</v>
      </c>
      <c r="F4" s="8">
        <f t="shared" ca="1" si="1"/>
        <v>2.5026831886037781E-2</v>
      </c>
      <c r="H4" s="4"/>
      <c r="I4" s="4"/>
    </row>
    <row r="5" spans="1:9" x14ac:dyDescent="0.2">
      <c r="A5" t="e" vm="3">
        <v>#VALUE!</v>
      </c>
      <c r="B5" t="str" cm="1">
        <f t="array" aca="1" ref="B5" ca="1">_FV(A5,"Ticker symbol",TRUE)</f>
        <v>ANET</v>
      </c>
      <c r="C5" s="7">
        <v>86.31</v>
      </c>
      <c r="D5" s="1" cm="1">
        <f t="array" aca="1" ref="D5" ca="1">_FV(exampleTABLE[[#This Row],[stock]],"Price")</f>
        <v>132.83000000000001</v>
      </c>
      <c r="E5" s="1">
        <f t="shared" ca="1" si="0"/>
        <v>46.52000000000001</v>
      </c>
      <c r="F5" s="8">
        <f t="shared" ca="1" si="1"/>
        <v>0.53898737110415951</v>
      </c>
    </row>
    <row r="6" spans="1:9" x14ac:dyDescent="0.2">
      <c r="A6" t="e" vm="4">
        <v>#VALUE!</v>
      </c>
      <c r="B6" t="str" cm="1">
        <f t="array" aca="1" ref="B6" ca="1">_FV(A6,"Ticker symbol",TRUE)</f>
        <v>ARM</v>
      </c>
      <c r="C6" s="7">
        <v>124.8</v>
      </c>
      <c r="D6" s="1" cm="1">
        <f t="array" aca="1" ref="D6" ca="1">_FV(exampleTABLE[[#This Row],[stock]],"Price")</f>
        <v>125.58</v>
      </c>
      <c r="E6" s="1">
        <f t="shared" ca="1" si="0"/>
        <v>0.78000000000000114</v>
      </c>
      <c r="F6" s="8">
        <f t="shared" ca="1" si="1"/>
        <v>6.250000000000009E-3</v>
      </c>
    </row>
    <row r="7" spans="1:9" x14ac:dyDescent="0.2">
      <c r="A7" t="e" vm="5">
        <v>#VALUE!</v>
      </c>
      <c r="B7" t="str" cm="1">
        <f t="array" aca="1" ref="B7" ca="1">_FV(A7,"Ticker symbol",TRUE)</f>
        <v>ASML</v>
      </c>
      <c r="C7" s="7">
        <v>733.29</v>
      </c>
      <c r="D7" s="1" cm="1">
        <f t="array" aca="1" ref="D7" ca="1">_FV(exampleTABLE[[#This Row],[stock]],"Price")</f>
        <v>1469.59</v>
      </c>
      <c r="E7" s="1">
        <f t="shared" ca="1" si="0"/>
        <v>736.3</v>
      </c>
      <c r="F7" s="8">
        <f t="shared" ca="1" si="1"/>
        <v>1.0041047880102005</v>
      </c>
    </row>
    <row r="8" spans="1:9" x14ac:dyDescent="0.2">
      <c r="A8" t="e" vm="6">
        <v>#VALUE!</v>
      </c>
      <c r="B8" t="str" cm="1">
        <f t="array" aca="1" ref="B8" ca="1">_FV(A8,"Ticker symbol",TRUE)</f>
        <v>AVGO</v>
      </c>
      <c r="C8" s="7">
        <v>243.25</v>
      </c>
      <c r="D8" s="1" cm="1">
        <f t="array" aca="1" ref="D8" ca="1">_FV(exampleTABLE[[#This Row],[stock]],"Price")</f>
        <v>332.65</v>
      </c>
      <c r="E8" s="1">
        <f t="shared" ca="1" si="0"/>
        <v>89.399999999999977</v>
      </c>
      <c r="F8" s="8">
        <f t="shared" ca="1" si="1"/>
        <v>0.36752312435765666</v>
      </c>
    </row>
    <row r="9" spans="1:9" x14ac:dyDescent="0.2">
      <c r="A9" t="e" vm="7">
        <v>#VALUE!</v>
      </c>
      <c r="B9" t="str" cm="1">
        <f t="array" aca="1" ref="B9" ca="1">_FV(A9,"Ticker symbol",TRUE)</f>
        <v>CRDO</v>
      </c>
      <c r="C9" s="7">
        <v>60.21</v>
      </c>
      <c r="D9" s="1" cm="1">
        <f t="array" aca="1" ref="D9" ca="1">_FV(exampleTABLE[[#This Row],[stock]],"Price")</f>
        <v>124.06</v>
      </c>
      <c r="E9" s="1">
        <f t="shared" ca="1" si="0"/>
        <v>63.85</v>
      </c>
      <c r="F9" s="8">
        <f t="shared" ca="1" si="1"/>
        <v>1.0604550739079888</v>
      </c>
    </row>
    <row r="10" spans="1:9" x14ac:dyDescent="0.2">
      <c r="A10" t="e" vm="8">
        <v>#VALUE!</v>
      </c>
      <c r="B10" t="str" cm="1">
        <f t="array" aca="1" ref="B10" ca="1">_FV(A10,"Ticker symbol",TRUE)</f>
        <v>CRWD</v>
      </c>
      <c r="C10" s="7">
        <v>471</v>
      </c>
      <c r="D10" s="1" cm="1">
        <f t="array" aca="1" ref="D10" ca="1">_FV(exampleTABLE[[#This Row],[stock]],"Price")</f>
        <v>388.6</v>
      </c>
      <c r="E10" s="1">
        <f t="shared" ca="1" si="0"/>
        <v>-82.399999999999977</v>
      </c>
      <c r="F10" s="8">
        <f t="shared" ca="1" si="1"/>
        <v>-0.17494692144373669</v>
      </c>
      <c r="H10" s="4"/>
      <c r="I10" s="4"/>
    </row>
    <row r="11" spans="1:9" x14ac:dyDescent="0.2">
      <c r="A11" t="e" vm="9">
        <v>#VALUE!</v>
      </c>
      <c r="B11" t="str" cm="1">
        <f t="array" aca="1" ref="B11" ca="1">_FV(A11,"Ticker symbol",TRUE)</f>
        <v>DDOG</v>
      </c>
      <c r="C11" s="7">
        <v>117.43</v>
      </c>
      <c r="D11" s="1" cm="1">
        <f t="array" aca="1" ref="D11" ca="1">_FV(exampleTABLE[[#This Row],[stock]],"Price")</f>
        <v>115.66</v>
      </c>
      <c r="E11" s="1">
        <f t="shared" ca="1" si="0"/>
        <v>-1.7700000000000102</v>
      </c>
      <c r="F11" s="8">
        <f t="shared" ca="1" si="1"/>
        <v>-1.5072809333219877E-2</v>
      </c>
    </row>
    <row r="12" spans="1:9" x14ac:dyDescent="0.2">
      <c r="A12" t="e" vm="10">
        <v>#VALUE!</v>
      </c>
      <c r="B12" t="str" cm="1">
        <f t="array" aca="1" ref="B12" ca="1">_FV(A12,"Ticker symbol",TRUE)</f>
        <v>GOOGL</v>
      </c>
      <c r="C12" s="7">
        <v>167.84</v>
      </c>
      <c r="D12" s="1" cm="1">
        <f t="array" aca="1" ref="D12" ca="1">_FV(exampleTABLE[[#This Row],[stock]],"Price")</f>
        <v>314.98</v>
      </c>
      <c r="E12" s="1">
        <f t="shared" ca="1" si="0"/>
        <v>147.14000000000001</v>
      </c>
      <c r="F12" s="8">
        <f t="shared" ca="1" si="1"/>
        <v>0.87666825548141092</v>
      </c>
      <c r="H12" s="4"/>
      <c r="I12" s="4"/>
    </row>
    <row r="13" spans="1:9" x14ac:dyDescent="0.2">
      <c r="A13" t="e" vm="11">
        <v>#VALUE!</v>
      </c>
      <c r="B13" t="str" cm="1">
        <f t="array" aca="1" ref="B13" ca="1">_FV(A13,"Ticker symbol",TRUE)</f>
        <v>ISRG</v>
      </c>
      <c r="C13" s="7">
        <v>549.05999999999995</v>
      </c>
      <c r="D13" s="1" cm="1">
        <f t="array" aca="1" ref="D13" ca="1">_FV(exampleTABLE[[#This Row],[stock]],"Price")</f>
        <v>504.05</v>
      </c>
      <c r="E13" s="1">
        <f t="shared" ca="1" si="0"/>
        <v>-45.009999999999934</v>
      </c>
      <c r="F13" s="8">
        <f t="shared" ca="1" si="1"/>
        <v>-8.1976468874075586E-2</v>
      </c>
    </row>
    <row r="14" spans="1:9" x14ac:dyDescent="0.2">
      <c r="A14" t="e" vm="12">
        <v>#VALUE!</v>
      </c>
      <c r="B14" t="str" cm="1">
        <f t="array" aca="1" ref="B14" ca="1">_FV(A14,"Ticker symbol",TRUE)</f>
        <v>MSFT</v>
      </c>
      <c r="C14" s="7">
        <v>457.14</v>
      </c>
      <c r="D14" s="1" cm="1">
        <f t="array" aca="1" ref="D14" ca="1">_FV(exampleTABLE[[#This Row],[stock]],"Price")</f>
        <v>397.23</v>
      </c>
      <c r="E14" s="1">
        <f t="shared" ca="1" si="0"/>
        <v>-59.909999999999968</v>
      </c>
      <c r="F14" s="8">
        <f t="shared" ca="1" si="1"/>
        <v>-0.13105394408715049</v>
      </c>
      <c r="H14" s="4"/>
      <c r="I14" s="4"/>
    </row>
    <row r="15" spans="1:9" x14ac:dyDescent="0.2">
      <c r="A15" t="e" vm="13">
        <v>#VALUE!</v>
      </c>
      <c r="B15" t="str" cm="1">
        <f t="array" aca="1" ref="B15" ca="1">_FV(A15,"Ticker symbol",TRUE)</f>
        <v>NVDA</v>
      </c>
      <c r="C15" s="7">
        <v>135.49</v>
      </c>
      <c r="D15" s="1" cm="1">
        <f t="array" aca="1" ref="D15" ca="1">_FV(exampleTABLE[[#This Row],[stock]],"Price")</f>
        <v>189.82</v>
      </c>
      <c r="E15" s="1">
        <f t="shared" ca="1" si="0"/>
        <v>54.329999999999984</v>
      </c>
      <c r="F15" s="8">
        <f t="shared" ca="1" si="1"/>
        <v>0.40098900287844108</v>
      </c>
    </row>
    <row r="16" spans="1:9" x14ac:dyDescent="0.2">
      <c r="A16" t="e" vm="14">
        <v>#VALUE!</v>
      </c>
      <c r="B16" t="str" cm="1">
        <f t="array" aca="1" ref="B16" ca="1">_FV(A16,"Ticker symbol",TRUE)</f>
        <v>OKTA</v>
      </c>
      <c r="C16" s="7">
        <v>103.09</v>
      </c>
      <c r="D16" s="1" cm="1">
        <f t="array" aca="1" ref="D16" ca="1">_FV(exampleTABLE[[#This Row],[stock]],"Price")</f>
        <v>74.290000000000006</v>
      </c>
      <c r="E16" s="1">
        <f t="shared" ca="1" si="0"/>
        <v>-28.799999999999997</v>
      </c>
      <c r="F16" s="8">
        <f t="shared" ca="1" si="1"/>
        <v>-0.2793675429236589</v>
      </c>
      <c r="H16" s="4"/>
      <c r="I16" s="4"/>
    </row>
    <row r="17" spans="1:9" x14ac:dyDescent="0.2">
      <c r="A17" t="e" vm="15">
        <v>#VALUE!</v>
      </c>
      <c r="B17" t="str" cm="1">
        <f t="array" aca="1" ref="B17" ca="1">_FV(A17,"Ticker symbol",TRUE)</f>
        <v>ORCL</v>
      </c>
      <c r="C17" s="7">
        <v>164.17</v>
      </c>
      <c r="D17" s="1" cm="1">
        <f t="array" aca="1" ref="D17" ca="1">_FV(exampleTABLE[[#This Row],[stock]],"Price")</f>
        <v>148.08000000000001</v>
      </c>
      <c r="E17" s="1">
        <f t="shared" ca="1" si="0"/>
        <v>-16.089999999999975</v>
      </c>
      <c r="F17" s="8">
        <f t="shared" ca="1" si="1"/>
        <v>-9.8008162270816684E-2</v>
      </c>
    </row>
    <row r="18" spans="1:9" x14ac:dyDescent="0.2">
      <c r="A18" t="e" vm="16">
        <v>#VALUE!</v>
      </c>
      <c r="B18" t="str" cm="1">
        <f t="array" aca="1" ref="B18" ca="1">_FV(A18,"Ticker symbol",TRUE)</f>
        <v>PANW</v>
      </c>
      <c r="C18" s="7">
        <v>192.14</v>
      </c>
      <c r="D18" s="1" cm="1">
        <f t="array" aca="1" ref="D18" ca="1">_FV(exampleTABLE[[#This Row],[stock]],"Price")</f>
        <v>148.69999999999999</v>
      </c>
      <c r="E18" s="1">
        <f t="shared" ca="1" si="0"/>
        <v>-43.44</v>
      </c>
      <c r="F18" s="8">
        <f t="shared" ca="1" si="1"/>
        <v>-0.22608514624752785</v>
      </c>
      <c r="H18" s="4"/>
      <c r="I18" s="4"/>
    </row>
    <row r="19" spans="1:9" x14ac:dyDescent="0.2">
      <c r="A19" t="e" vm="17">
        <v>#VALUE!</v>
      </c>
      <c r="B19" t="str" cm="1">
        <f t="array" aca="1" ref="B19" ca="1">_FV(A19,"Ticker symbol",TRUE)</f>
        <v>QCOM</v>
      </c>
      <c r="C19" s="7">
        <v>144.80000000000001</v>
      </c>
      <c r="D19" s="1" cm="1">
        <f t="array" aca="1" ref="D19" ca="1">_FV(exampleTABLE[[#This Row],[stock]],"Price")</f>
        <v>142.88</v>
      </c>
      <c r="E19" s="1">
        <f t="shared" ca="1" si="0"/>
        <v>-1.9200000000000159</v>
      </c>
      <c r="F19" s="8">
        <f t="shared" ca="1" si="1"/>
        <v>-1.3259668508287402E-2</v>
      </c>
    </row>
    <row r="20" spans="1:9" x14ac:dyDescent="0.2">
      <c r="A20" t="e" vm="18">
        <v>#VALUE!</v>
      </c>
      <c r="B20" t="str" cm="1">
        <f t="array" aca="1" ref="B20" ca="1">_FV(A20,"Ticker symbol",TRUE)</f>
        <v>SYK</v>
      </c>
      <c r="C20" s="7">
        <v>379.56</v>
      </c>
      <c r="D20" s="1" cm="1">
        <f t="array" aca="1" ref="D20" ca="1">_FV(exampleTABLE[[#This Row],[stock]],"Price")</f>
        <v>380.18</v>
      </c>
      <c r="E20" s="1">
        <f t="shared" ca="1" si="0"/>
        <v>0.62000000000000455</v>
      </c>
      <c r="F20" s="8">
        <f t="shared" ca="1" si="1"/>
        <v>1.6334703340710416E-3</v>
      </c>
      <c r="H20" s="4"/>
      <c r="I20" s="4"/>
    </row>
    <row r="21" spans="1:9" x14ac:dyDescent="0.2">
      <c r="A21" t="e" vm="19">
        <v>#VALUE!</v>
      </c>
      <c r="B21" t="str" cm="1">
        <f t="array" aca="1" ref="B21" ca="1">_FV(A21,"Ticker symbol",TRUE)</f>
        <v>SYM</v>
      </c>
      <c r="C21" s="7">
        <v>28.59</v>
      </c>
      <c r="D21" s="1" cm="1">
        <f t="array" aca="1" ref="D21" ca="1">_FV(exampleTABLE[[#This Row],[stock]],"Price")</f>
        <v>53.795000000000002</v>
      </c>
      <c r="E21" s="1">
        <f t="shared" ca="1" si="0"/>
        <v>25.205000000000002</v>
      </c>
      <c r="F21" s="8">
        <f t="shared" ca="1" si="1"/>
        <v>0.88160195872682767</v>
      </c>
    </row>
    <row r="22" spans="1:9" x14ac:dyDescent="0.2">
      <c r="A22" t="e" vm="20">
        <v>#VALUE!</v>
      </c>
      <c r="B22" t="str" cm="1">
        <f t="array" aca="1" ref="B22" ca="1">_FV(A22,"Ticker symbol",TRUE)</f>
        <v>TEM</v>
      </c>
      <c r="C22" s="7">
        <v>55.23</v>
      </c>
      <c r="D22" s="1" cm="1">
        <f t="array" aca="1" ref="D22" ca="1">_FV(exampleTABLE[[#This Row],[stock]],"Price")</f>
        <v>58.37</v>
      </c>
      <c r="E22" s="1">
        <f t="shared" ca="1" si="0"/>
        <v>3.1400000000000006</v>
      </c>
      <c r="F22" s="8">
        <f t="shared" ca="1" si="1"/>
        <v>5.6853159514756488E-2</v>
      </c>
      <c r="H22" s="4"/>
      <c r="I22" s="4"/>
    </row>
    <row r="23" spans="1:9" x14ac:dyDescent="0.2">
      <c r="A23" t="e" vm="21">
        <v>#VALUE!</v>
      </c>
      <c r="B23" t="str" cm="1">
        <f t="array" aca="1" ref="B23" ca="1">_FV(A23,"Ticker symbol",TRUE)</f>
        <v>VRT</v>
      </c>
      <c r="C23" s="7">
        <v>108</v>
      </c>
      <c r="D23" s="1" cm="1">
        <f t="array" aca="1" ref="D23" ca="1">_FV(exampleTABLE[[#This Row],[stock]],"Price")</f>
        <v>243.75</v>
      </c>
      <c r="E23" s="1">
        <f t="shared" ca="1" si="0"/>
        <v>135.75</v>
      </c>
      <c r="F23" s="8">
        <f t="shared" ca="1" si="1"/>
        <v>1.2569444444444444</v>
      </c>
    </row>
    <row r="24" spans="1:9" ht="19" x14ac:dyDescent="0.25">
      <c r="A24" t="e" vm="22">
        <v>#VALUE!</v>
      </c>
      <c r="B24" t="str" cm="1">
        <f t="array" aca="1" ref="B24" ca="1">_FV(A24,"Ticker symbol",TRUE)</f>
        <v>VST</v>
      </c>
      <c r="C24" s="7">
        <v>160.6</v>
      </c>
      <c r="D24" s="1" cm="1">
        <f t="array" aca="1" ref="D24" ca="1">_FV(exampleTABLE[[#This Row],[stock]],"Price")</f>
        <v>171.33500000000001</v>
      </c>
      <c r="E24" s="1">
        <f t="shared" ca="1" si="0"/>
        <v>10.735000000000014</v>
      </c>
      <c r="F24" s="8">
        <f t="shared" ca="1" si="1"/>
        <v>6.6843088418430965E-2</v>
      </c>
      <c r="H24" s="3"/>
      <c r="I24" s="5"/>
    </row>
    <row r="25" spans="1:9" x14ac:dyDescent="0.2">
      <c r="A25" t="e" vm="23">
        <v>#VALUE!</v>
      </c>
      <c r="B25" t="str" cm="1">
        <f t="array" aca="1" ref="B25" ca="1">_FV(A25,"Ticker symbol",TRUE)</f>
        <v>ZS</v>
      </c>
      <c r="C25" s="7">
        <v>276.62</v>
      </c>
      <c r="D25" s="1" cm="1">
        <f t="array" aca="1" ref="D25" ca="1">_FV(exampleTABLE[[#This Row],[stock]],"Price")</f>
        <v>159.75</v>
      </c>
      <c r="E25" s="1">
        <f t="shared" ca="1" si="0"/>
        <v>-116.87</v>
      </c>
      <c r="F25" s="8">
        <f t="shared" ca="1" si="1"/>
        <v>-0.42249295061817654</v>
      </c>
    </row>
    <row r="27" spans="1:9" x14ac:dyDescent="0.2">
      <c r="H27" s="6"/>
      <c r="I27" s="4"/>
    </row>
    <row r="29" spans="1:9" x14ac:dyDescent="0.2">
      <c r="H29" s="6"/>
      <c r="I29" s="4"/>
    </row>
    <row r="31" spans="1:9" x14ac:dyDescent="0.2">
      <c r="H31" s="6"/>
      <c r="I31" s="4"/>
    </row>
    <row r="33" spans="9:9" x14ac:dyDescent="0.2">
      <c r="I33" s="4"/>
    </row>
    <row r="35" spans="9:9" ht="19" x14ac:dyDescent="0.25">
      <c r="I35" s="3"/>
    </row>
    <row r="37" spans="9:9" x14ac:dyDescent="0.2">
      <c r="I37" s="4"/>
    </row>
    <row r="43" spans="9:9" x14ac:dyDescent="0.2">
      <c r="I43" s="4"/>
    </row>
    <row r="45" spans="9:9" x14ac:dyDescent="0.2">
      <c r="I45" s="4"/>
    </row>
    <row r="47" spans="9:9" x14ac:dyDescent="0.2">
      <c r="I47" s="4"/>
    </row>
    <row r="49" spans="9:9" x14ac:dyDescent="0.2">
      <c r="I49" s="4"/>
    </row>
    <row r="51" spans="9:9" x14ac:dyDescent="0.2">
      <c r="I51" s="4"/>
    </row>
    <row r="53" spans="9:9" x14ac:dyDescent="0.2">
      <c r="I53" s="4"/>
    </row>
    <row r="55" spans="9:9" x14ac:dyDescent="0.2">
      <c r="I55" s="4"/>
    </row>
    <row r="57" spans="9:9" x14ac:dyDescent="0.2">
      <c r="I57" s="4"/>
    </row>
    <row r="59" spans="9:9" ht="19" x14ac:dyDescent="0.25">
      <c r="I59" s="3"/>
    </row>
    <row r="61" spans="9:9" x14ac:dyDescent="0.2">
      <c r="I61" s="4"/>
    </row>
    <row r="67" spans="9:9" x14ac:dyDescent="0.2">
      <c r="I67" s="4"/>
    </row>
    <row r="69" spans="9:9" x14ac:dyDescent="0.2">
      <c r="I69" s="4"/>
    </row>
    <row r="71" spans="9:9" x14ac:dyDescent="0.2">
      <c r="I71" s="4"/>
    </row>
    <row r="73" spans="9:9" x14ac:dyDescent="0.2">
      <c r="I73" s="4"/>
    </row>
    <row r="75" spans="9:9" x14ac:dyDescent="0.2">
      <c r="I75" s="4"/>
    </row>
    <row r="77" spans="9:9" x14ac:dyDescent="0.2">
      <c r="I77" s="4"/>
    </row>
    <row r="79" spans="9:9" x14ac:dyDescent="0.2">
      <c r="I79" s="4"/>
    </row>
    <row r="81" spans="9:9" x14ac:dyDescent="0.2">
      <c r="I81" s="4"/>
    </row>
    <row r="83" spans="9:9" ht="19" x14ac:dyDescent="0.25">
      <c r="I83" s="3"/>
    </row>
    <row r="85" spans="9:9" x14ac:dyDescent="0.2">
      <c r="I85" s="4"/>
    </row>
    <row r="91" spans="9:9" x14ac:dyDescent="0.2">
      <c r="I91" s="4"/>
    </row>
    <row r="93" spans="9:9" x14ac:dyDescent="0.2">
      <c r="I93" s="4"/>
    </row>
    <row r="95" spans="9:9" x14ac:dyDescent="0.2">
      <c r="I95" s="4"/>
    </row>
    <row r="97" spans="9:9" x14ac:dyDescent="0.2">
      <c r="I97" s="4"/>
    </row>
    <row r="99" spans="9:9" x14ac:dyDescent="0.2">
      <c r="I99" s="4"/>
    </row>
    <row r="101" spans="9:9" x14ac:dyDescent="0.2">
      <c r="I101" s="4"/>
    </row>
    <row r="103" spans="9:9" x14ac:dyDescent="0.2">
      <c r="I103" s="4"/>
    </row>
    <row r="105" spans="9:9" x14ac:dyDescent="0.2">
      <c r="I105" s="4"/>
    </row>
    <row r="107" spans="9:9" ht="19" x14ac:dyDescent="0.25">
      <c r="I107" s="3"/>
    </row>
    <row r="109" spans="9:9" x14ac:dyDescent="0.2">
      <c r="I109" s="4"/>
    </row>
    <row r="115" spans="9:9" x14ac:dyDescent="0.2">
      <c r="I115" s="4"/>
    </row>
    <row r="117" spans="9:9" x14ac:dyDescent="0.2">
      <c r="I117" s="4"/>
    </row>
    <row r="119" spans="9:9" x14ac:dyDescent="0.2">
      <c r="I119" s="4"/>
    </row>
    <row r="121" spans="9:9" x14ac:dyDescent="0.2">
      <c r="I121" s="4"/>
    </row>
    <row r="123" spans="9:9" x14ac:dyDescent="0.2">
      <c r="I123" s="4"/>
    </row>
    <row r="125" spans="9:9" x14ac:dyDescent="0.2">
      <c r="I125" s="4"/>
    </row>
    <row r="127" spans="9:9" x14ac:dyDescent="0.2">
      <c r="I127" s="4"/>
    </row>
    <row r="129" spans="9:9" x14ac:dyDescent="0.2">
      <c r="I129" s="4"/>
    </row>
    <row r="131" spans="9:9" ht="19" x14ac:dyDescent="0.25">
      <c r="I131" s="3"/>
    </row>
    <row r="133" spans="9:9" x14ac:dyDescent="0.2">
      <c r="I133" s="4"/>
    </row>
    <row r="139" spans="9:9" x14ac:dyDescent="0.2">
      <c r="I139" s="4"/>
    </row>
    <row r="141" spans="9:9" x14ac:dyDescent="0.2">
      <c r="I141" s="4"/>
    </row>
    <row r="143" spans="9:9" x14ac:dyDescent="0.2">
      <c r="I143" s="4"/>
    </row>
    <row r="145" spans="9:9" x14ac:dyDescent="0.2">
      <c r="I145" s="4"/>
    </row>
    <row r="147" spans="9:9" x14ac:dyDescent="0.2">
      <c r="I147" s="4"/>
    </row>
    <row r="149" spans="9:9" x14ac:dyDescent="0.2">
      <c r="I149" s="4"/>
    </row>
    <row r="151" spans="9:9" x14ac:dyDescent="0.2">
      <c r="I151" s="4"/>
    </row>
    <row r="153" spans="9:9" x14ac:dyDescent="0.2">
      <c r="I153" s="4"/>
    </row>
    <row r="155" spans="9:9" ht="19" x14ac:dyDescent="0.25">
      <c r="I155" s="3"/>
    </row>
    <row r="157" spans="9:9" x14ac:dyDescent="0.2">
      <c r="I157" s="4"/>
    </row>
    <row r="163" spans="9:9" x14ac:dyDescent="0.2">
      <c r="I163" s="4"/>
    </row>
    <row r="165" spans="9:9" x14ac:dyDescent="0.2">
      <c r="I165" s="4"/>
    </row>
    <row r="167" spans="9:9" x14ac:dyDescent="0.2">
      <c r="I167" s="4"/>
    </row>
    <row r="169" spans="9:9" x14ac:dyDescent="0.2">
      <c r="I169" s="4"/>
    </row>
    <row r="171" spans="9:9" x14ac:dyDescent="0.2">
      <c r="I171" s="4"/>
    </row>
    <row r="173" spans="9:9" x14ac:dyDescent="0.2">
      <c r="I173" s="4"/>
    </row>
    <row r="175" spans="9:9" x14ac:dyDescent="0.2">
      <c r="I175" s="4"/>
    </row>
    <row r="177" spans="9:9" x14ac:dyDescent="0.2">
      <c r="I177" s="4"/>
    </row>
    <row r="179" spans="9:9" ht="19" x14ac:dyDescent="0.25">
      <c r="I179" s="3"/>
    </row>
    <row r="181" spans="9:9" x14ac:dyDescent="0.2">
      <c r="I181" s="4"/>
    </row>
    <row r="187" spans="9:9" x14ac:dyDescent="0.2">
      <c r="I187" s="4"/>
    </row>
    <row r="189" spans="9:9" x14ac:dyDescent="0.2">
      <c r="I189" s="4"/>
    </row>
    <row r="191" spans="9:9" x14ac:dyDescent="0.2">
      <c r="I191" s="4"/>
    </row>
    <row r="193" spans="9:9" x14ac:dyDescent="0.2">
      <c r="I193" s="4"/>
    </row>
    <row r="195" spans="9:9" x14ac:dyDescent="0.2">
      <c r="I195" s="4"/>
    </row>
    <row r="197" spans="9:9" x14ac:dyDescent="0.2">
      <c r="I197" s="4"/>
    </row>
    <row r="199" spans="9:9" x14ac:dyDescent="0.2">
      <c r="I199" s="4"/>
    </row>
    <row r="201" spans="9:9" x14ac:dyDescent="0.2">
      <c r="I201" s="4"/>
    </row>
  </sheetData>
  <conditionalFormatting sqref="F1">
    <cfRule type="colorScale" priority="1">
      <colorScale>
        <cfvo type="min"/>
        <cfvo type="percentile" val="50"/>
        <cfvo type="max"/>
        <color rgb="FFF8696B"/>
        <color rgb="FFFFEB84"/>
        <color rgb="FF63BE7B"/>
      </colorScale>
    </cfRule>
  </conditionalFormatting>
  <conditionalFormatting sqref="F3:F25">
    <cfRule type="colorScale" priority="3">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exampleSHEET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f</dc:creator>
  <cp:lastModifiedBy>R f</cp:lastModifiedBy>
  <dcterms:created xsi:type="dcterms:W3CDTF">2025-06-27T01:45:39Z</dcterms:created>
  <dcterms:modified xsi:type="dcterms:W3CDTF">2026-02-21T23:01:01Z</dcterms:modified>
</cp:coreProperties>
</file>